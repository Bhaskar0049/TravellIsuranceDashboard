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DAIproject\"/>
    </mc:Choice>
  </mc:AlternateContent>
  <xr:revisionPtr revIDLastSave="0" documentId="13_ncr:1_{5E316CA9-8E69-4A7C-9485-7500E1F8A5C8}" xr6:coauthVersionLast="47" xr6:coauthVersionMax="47" xr10:uidLastSave="{00000000-0000-0000-0000-000000000000}"/>
  <bookViews>
    <workbookView xWindow="-108" yWindow="-108" windowWidth="23256" windowHeight="12456" activeTab="11" xr2:uid="{6B496AC0-FD07-4043-A5B1-1EEE5BA84F91}"/>
  </bookViews>
  <sheets>
    <sheet name="New_clients " sheetId="16" r:id="rId1"/>
    <sheet name="Descriptive  stat" sheetId="9" r:id="rId2"/>
    <sheet name="T test (Annual Income)" sheetId="11" r:id="rId3"/>
    <sheet name="correlation" sheetId="14" r:id="rId4"/>
    <sheet name="T test (Age)" sheetId="12" r:id="rId5"/>
    <sheet name="T test (family members)" sheetId="13" r:id="rId6"/>
    <sheet name="logistic regression" sheetId="15" r:id="rId7"/>
    <sheet name="old_clients " sheetId="5" r:id="rId8"/>
    <sheet name="chi squre" sheetId="17" r:id="rId9"/>
    <sheet name="Chi-squre example" sheetId="18" r:id="rId10"/>
    <sheet name="Normality test" sheetId="19" r:id="rId11"/>
    <sheet name="Interpretation" sheetId="20" r:id="rId12"/>
  </sheets>
  <externalReferences>
    <externalReference r:id="rId13"/>
  </externalReferences>
  <definedNames>
    <definedName name="ExternalData_2" localSheetId="7" hidden="1">'old_clients '!$A$1:$J$683</definedName>
    <definedName name="ExternalData_3" localSheetId="0" hidden="1">'New_clients '!$A$1:$J$1304</definedName>
    <definedName name="solver_cvg" localSheetId="6" hidden="1">0.0001</definedName>
    <definedName name="solver_drv" localSheetId="6" hidden="1">1</definedName>
    <definedName name="solver_eng" localSheetId="6" hidden="1">1</definedName>
    <definedName name="solver_est" localSheetId="6" hidden="1">1</definedName>
    <definedName name="solver_itr" localSheetId="6" hidden="1">2147483647</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1</definedName>
    <definedName name="solver_nod" localSheetId="6" hidden="1">2147483647</definedName>
    <definedName name="solver_num" localSheetId="6" hidden="1">0</definedName>
    <definedName name="solver_nwt" localSheetId="6" hidden="1">1</definedName>
    <definedName name="solver_opt" localSheetId="6" hidden="1">'logistic regression'!$B$3</definedName>
    <definedName name="solver_pre" localSheetId="6" hidden="1">0.000001</definedName>
    <definedName name="solver_rbv" localSheetId="6" hidden="1">1</definedName>
    <definedName name="solver_rlx" localSheetId="6" hidden="1">2</definedName>
    <definedName name="solver_rsd" localSheetId="6" hidden="1">0</definedName>
    <definedName name="solver_scl" localSheetId="6" hidden="1">1</definedName>
    <definedName name="solver_sho" localSheetId="6" hidden="1">2</definedName>
    <definedName name="solver_ssz" localSheetId="6" hidden="1">100</definedName>
    <definedName name="solver_tim" localSheetId="6" hidden="1">2147483647</definedName>
    <definedName name="solver_tol" localSheetId="6" hidden="1">0.01</definedName>
    <definedName name="solver_typ" localSheetId="6" hidden="1">3</definedName>
    <definedName name="solver_val" localSheetId="6" hidden="1">0</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8" l="1"/>
  <c r="F8" i="18" s="1"/>
  <c r="E6" i="18"/>
  <c r="E9" i="18" s="1"/>
  <c r="G5" i="18"/>
  <c r="G4" i="18"/>
  <c r="G6" i="18" s="1"/>
  <c r="K2"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K177" i="16"/>
  <c r="K178" i="16"/>
  <c r="K179" i="16"/>
  <c r="K180" i="16"/>
  <c r="K181" i="16"/>
  <c r="K182" i="16"/>
  <c r="K183" i="16"/>
  <c r="K184" i="16"/>
  <c r="K185" i="16"/>
  <c r="K186" i="16"/>
  <c r="K187" i="16"/>
  <c r="K188" i="16"/>
  <c r="K189" i="16"/>
  <c r="K190" i="16"/>
  <c r="K191" i="16"/>
  <c r="K192" i="16"/>
  <c r="K193" i="16"/>
  <c r="K194" i="16"/>
  <c r="K195" i="16"/>
  <c r="K196" i="16"/>
  <c r="K197" i="16"/>
  <c r="K198" i="16"/>
  <c r="K199" i="16"/>
  <c r="K200" i="16"/>
  <c r="K201" i="16"/>
  <c r="K202" i="16"/>
  <c r="K203" i="16"/>
  <c r="K204" i="16"/>
  <c r="K205" i="16"/>
  <c r="K206" i="16"/>
  <c r="K207" i="16"/>
  <c r="K208" i="16"/>
  <c r="K209" i="16"/>
  <c r="K210" i="16"/>
  <c r="K211" i="16"/>
  <c r="K212" i="16"/>
  <c r="K213" i="16"/>
  <c r="K214" i="16"/>
  <c r="K215" i="16"/>
  <c r="K216" i="16"/>
  <c r="K217" i="16"/>
  <c r="K218" i="16"/>
  <c r="K219" i="16"/>
  <c r="K220" i="16"/>
  <c r="K221" i="16"/>
  <c r="K222" i="16"/>
  <c r="K223" i="16"/>
  <c r="K224" i="16"/>
  <c r="K225" i="16"/>
  <c r="K226" i="16"/>
  <c r="K227" i="16"/>
  <c r="K228" i="16"/>
  <c r="K229" i="16"/>
  <c r="K230" i="16"/>
  <c r="K231" i="16"/>
  <c r="K232" i="16"/>
  <c r="K233" i="16"/>
  <c r="K234" i="16"/>
  <c r="K235" i="16"/>
  <c r="K236" i="16"/>
  <c r="K237" i="16"/>
  <c r="K238" i="16"/>
  <c r="K239" i="16"/>
  <c r="K240" i="16"/>
  <c r="K241" i="16"/>
  <c r="K242" i="16"/>
  <c r="K243" i="16"/>
  <c r="K244" i="16"/>
  <c r="K245" i="16"/>
  <c r="K246" i="16"/>
  <c r="K247" i="16"/>
  <c r="K248" i="16"/>
  <c r="K249" i="16"/>
  <c r="K250" i="16"/>
  <c r="K251" i="16"/>
  <c r="K252" i="16"/>
  <c r="K253" i="16"/>
  <c r="K254" i="16"/>
  <c r="K255" i="16"/>
  <c r="K256" i="16"/>
  <c r="K257" i="16"/>
  <c r="K258" i="16"/>
  <c r="K259" i="16"/>
  <c r="K260" i="16"/>
  <c r="K261" i="16"/>
  <c r="K262" i="16"/>
  <c r="K263" i="16"/>
  <c r="K264" i="16"/>
  <c r="K265" i="16"/>
  <c r="K266" i="16"/>
  <c r="K267" i="16"/>
  <c r="K268" i="16"/>
  <c r="K269" i="16"/>
  <c r="K270" i="16"/>
  <c r="K271" i="16"/>
  <c r="K272" i="16"/>
  <c r="K273" i="16"/>
  <c r="K274" i="16"/>
  <c r="K275" i="16"/>
  <c r="K276" i="16"/>
  <c r="K277" i="16"/>
  <c r="K278" i="16"/>
  <c r="K279" i="16"/>
  <c r="K280" i="16"/>
  <c r="K281" i="16"/>
  <c r="K282" i="16"/>
  <c r="K283" i="16"/>
  <c r="K284" i="16"/>
  <c r="K285" i="16"/>
  <c r="K286" i="16"/>
  <c r="K287" i="16"/>
  <c r="K288" i="16"/>
  <c r="K289" i="16"/>
  <c r="K290" i="16"/>
  <c r="K291" i="16"/>
  <c r="K292" i="16"/>
  <c r="K293" i="16"/>
  <c r="K294" i="16"/>
  <c r="K295" i="16"/>
  <c r="K296" i="16"/>
  <c r="K297" i="16"/>
  <c r="K298" i="16"/>
  <c r="K299" i="16"/>
  <c r="K300" i="16"/>
  <c r="K301" i="16"/>
  <c r="K302" i="16"/>
  <c r="K303" i="16"/>
  <c r="K304" i="16"/>
  <c r="K305" i="16"/>
  <c r="K306" i="16"/>
  <c r="K307" i="16"/>
  <c r="K308" i="16"/>
  <c r="K309" i="16"/>
  <c r="K310" i="16"/>
  <c r="K311" i="16"/>
  <c r="K312" i="16"/>
  <c r="K313" i="16"/>
  <c r="K314" i="16"/>
  <c r="K315" i="16"/>
  <c r="K316" i="16"/>
  <c r="K317" i="16"/>
  <c r="K318" i="16"/>
  <c r="K319" i="16"/>
  <c r="K320" i="16"/>
  <c r="K321" i="16"/>
  <c r="K322" i="16"/>
  <c r="K323" i="16"/>
  <c r="K324" i="16"/>
  <c r="K325" i="16"/>
  <c r="K326" i="16"/>
  <c r="K327" i="16"/>
  <c r="K328" i="16"/>
  <c r="K329" i="16"/>
  <c r="K330" i="16"/>
  <c r="K331" i="16"/>
  <c r="K332" i="16"/>
  <c r="K333" i="16"/>
  <c r="K334" i="16"/>
  <c r="K335" i="16"/>
  <c r="K336" i="16"/>
  <c r="K337" i="16"/>
  <c r="K338" i="16"/>
  <c r="K339" i="16"/>
  <c r="K340" i="16"/>
  <c r="K341" i="16"/>
  <c r="K342" i="16"/>
  <c r="K343" i="16"/>
  <c r="K344" i="16"/>
  <c r="K345" i="16"/>
  <c r="K346" i="16"/>
  <c r="K347" i="16"/>
  <c r="K348" i="16"/>
  <c r="K349" i="16"/>
  <c r="K350" i="16"/>
  <c r="K351" i="16"/>
  <c r="K352" i="16"/>
  <c r="K353" i="16"/>
  <c r="K354" i="16"/>
  <c r="K355" i="16"/>
  <c r="K356" i="16"/>
  <c r="K357" i="16"/>
  <c r="K358" i="16"/>
  <c r="K359" i="16"/>
  <c r="K360" i="16"/>
  <c r="K361" i="16"/>
  <c r="K362" i="16"/>
  <c r="K363" i="16"/>
  <c r="K364" i="16"/>
  <c r="K365" i="16"/>
  <c r="K366" i="16"/>
  <c r="K367" i="16"/>
  <c r="K368" i="16"/>
  <c r="K369" i="16"/>
  <c r="K370" i="16"/>
  <c r="K371" i="16"/>
  <c r="K372" i="16"/>
  <c r="K373" i="16"/>
  <c r="K374" i="16"/>
  <c r="K375" i="16"/>
  <c r="K376" i="16"/>
  <c r="K377" i="16"/>
  <c r="K378" i="16"/>
  <c r="K379" i="16"/>
  <c r="K380" i="16"/>
  <c r="K381" i="16"/>
  <c r="K382" i="16"/>
  <c r="K383" i="16"/>
  <c r="K384" i="16"/>
  <c r="K385" i="16"/>
  <c r="K386" i="16"/>
  <c r="K387" i="16"/>
  <c r="K388" i="16"/>
  <c r="K389" i="16"/>
  <c r="K390" i="16"/>
  <c r="K391" i="16"/>
  <c r="K392" i="16"/>
  <c r="K393" i="16"/>
  <c r="K394" i="16"/>
  <c r="K395" i="16"/>
  <c r="K396" i="16"/>
  <c r="K397" i="16"/>
  <c r="K398" i="16"/>
  <c r="K399" i="16"/>
  <c r="K400" i="16"/>
  <c r="K401" i="16"/>
  <c r="K402" i="16"/>
  <c r="K403" i="16"/>
  <c r="K404" i="16"/>
  <c r="K405" i="16"/>
  <c r="K406" i="16"/>
  <c r="K407" i="16"/>
  <c r="K408" i="16"/>
  <c r="K409" i="16"/>
  <c r="K410" i="16"/>
  <c r="K411" i="16"/>
  <c r="K412" i="16"/>
  <c r="K413" i="16"/>
  <c r="K414" i="16"/>
  <c r="K415" i="16"/>
  <c r="K416" i="16"/>
  <c r="K417" i="16"/>
  <c r="K418" i="16"/>
  <c r="K419" i="16"/>
  <c r="K420" i="16"/>
  <c r="K421" i="16"/>
  <c r="K422" i="16"/>
  <c r="K423" i="16"/>
  <c r="K424" i="16"/>
  <c r="K425" i="16"/>
  <c r="K426" i="16"/>
  <c r="K427" i="16"/>
  <c r="K428" i="16"/>
  <c r="K429" i="16"/>
  <c r="K430" i="16"/>
  <c r="K431" i="16"/>
  <c r="K432" i="16"/>
  <c r="K433" i="16"/>
  <c r="K434" i="16"/>
  <c r="K435" i="16"/>
  <c r="K436" i="16"/>
  <c r="K437" i="16"/>
  <c r="K438" i="16"/>
  <c r="K439" i="16"/>
  <c r="K440" i="16"/>
  <c r="K441" i="16"/>
  <c r="K442" i="16"/>
  <c r="K443" i="16"/>
  <c r="K444" i="16"/>
  <c r="K445" i="16"/>
  <c r="K446" i="16"/>
  <c r="K447" i="16"/>
  <c r="K448" i="16"/>
  <c r="K449" i="16"/>
  <c r="K450" i="16"/>
  <c r="K451" i="16"/>
  <c r="K452" i="16"/>
  <c r="K453" i="16"/>
  <c r="K454" i="16"/>
  <c r="K455" i="16"/>
  <c r="K456" i="16"/>
  <c r="K457" i="16"/>
  <c r="K458" i="16"/>
  <c r="K459" i="16"/>
  <c r="K460" i="16"/>
  <c r="K461" i="16"/>
  <c r="K462" i="16"/>
  <c r="K463" i="16"/>
  <c r="K464" i="16"/>
  <c r="K465" i="16"/>
  <c r="K466" i="16"/>
  <c r="K467" i="16"/>
  <c r="K468" i="16"/>
  <c r="K469" i="16"/>
  <c r="K470" i="16"/>
  <c r="K471" i="16"/>
  <c r="K472" i="16"/>
  <c r="K473" i="16"/>
  <c r="K474" i="16"/>
  <c r="K475" i="16"/>
  <c r="K476" i="16"/>
  <c r="K477" i="16"/>
  <c r="K478" i="16"/>
  <c r="K479" i="16"/>
  <c r="K480" i="16"/>
  <c r="K481" i="16"/>
  <c r="K482" i="16"/>
  <c r="K483" i="16"/>
  <c r="K484" i="16"/>
  <c r="K485" i="16"/>
  <c r="K486" i="16"/>
  <c r="K487" i="16"/>
  <c r="K488" i="16"/>
  <c r="K489" i="16"/>
  <c r="K490" i="16"/>
  <c r="K491" i="16"/>
  <c r="K492" i="16"/>
  <c r="K493" i="16"/>
  <c r="K494" i="16"/>
  <c r="K495" i="16"/>
  <c r="K496" i="16"/>
  <c r="K497" i="16"/>
  <c r="K498" i="16"/>
  <c r="K499" i="16"/>
  <c r="K500" i="16"/>
  <c r="K501" i="16"/>
  <c r="K502" i="16"/>
  <c r="K503" i="16"/>
  <c r="K504" i="16"/>
  <c r="K505" i="16"/>
  <c r="K506" i="16"/>
  <c r="K507" i="16"/>
  <c r="K508" i="16"/>
  <c r="K509" i="16"/>
  <c r="K510" i="16"/>
  <c r="K511" i="16"/>
  <c r="K512" i="16"/>
  <c r="K513" i="16"/>
  <c r="K514" i="16"/>
  <c r="K515" i="16"/>
  <c r="K516" i="16"/>
  <c r="K517" i="16"/>
  <c r="K518" i="16"/>
  <c r="K519" i="16"/>
  <c r="K520" i="16"/>
  <c r="K521" i="16"/>
  <c r="K522" i="16"/>
  <c r="K523" i="16"/>
  <c r="K524" i="16"/>
  <c r="K525" i="16"/>
  <c r="K526" i="16"/>
  <c r="K527" i="16"/>
  <c r="K528" i="16"/>
  <c r="K529" i="16"/>
  <c r="K530" i="16"/>
  <c r="K531" i="16"/>
  <c r="K532" i="16"/>
  <c r="K533" i="16"/>
  <c r="K534" i="16"/>
  <c r="K535" i="16"/>
  <c r="K536" i="16"/>
  <c r="K537" i="16"/>
  <c r="K538" i="16"/>
  <c r="K539" i="16"/>
  <c r="K540" i="16"/>
  <c r="K541" i="16"/>
  <c r="K542" i="16"/>
  <c r="K543" i="16"/>
  <c r="K544" i="16"/>
  <c r="K545" i="16"/>
  <c r="K546" i="16"/>
  <c r="K547" i="16"/>
  <c r="K548" i="16"/>
  <c r="K549" i="16"/>
  <c r="K550" i="16"/>
  <c r="K551" i="16"/>
  <c r="K552" i="16"/>
  <c r="K553" i="16"/>
  <c r="K554" i="16"/>
  <c r="K555" i="16"/>
  <c r="K556" i="16"/>
  <c r="K557" i="16"/>
  <c r="K558" i="16"/>
  <c r="K559" i="16"/>
  <c r="K560" i="16"/>
  <c r="K561" i="16"/>
  <c r="K562" i="16"/>
  <c r="K563" i="16"/>
  <c r="K564" i="16"/>
  <c r="K565" i="16"/>
  <c r="K566" i="16"/>
  <c r="K567" i="16"/>
  <c r="K568" i="16"/>
  <c r="K569" i="16"/>
  <c r="K570" i="16"/>
  <c r="K571" i="16"/>
  <c r="K572" i="16"/>
  <c r="K573" i="16"/>
  <c r="K574" i="16"/>
  <c r="K575" i="16"/>
  <c r="K576" i="16"/>
  <c r="K577" i="16"/>
  <c r="K578" i="16"/>
  <c r="K579" i="16"/>
  <c r="K580" i="16"/>
  <c r="K581" i="16"/>
  <c r="K582" i="16"/>
  <c r="K583" i="16"/>
  <c r="K584" i="16"/>
  <c r="K585" i="16"/>
  <c r="K586" i="16"/>
  <c r="K587" i="16"/>
  <c r="K588" i="16"/>
  <c r="K589" i="16"/>
  <c r="K590" i="16"/>
  <c r="K591" i="16"/>
  <c r="K592" i="16"/>
  <c r="K593" i="16"/>
  <c r="K594" i="16"/>
  <c r="K595" i="16"/>
  <c r="K596" i="16"/>
  <c r="K597" i="16"/>
  <c r="K598" i="16"/>
  <c r="K599" i="16"/>
  <c r="K600" i="16"/>
  <c r="K601" i="16"/>
  <c r="K602" i="16"/>
  <c r="K603" i="16"/>
  <c r="K604" i="16"/>
  <c r="K605" i="16"/>
  <c r="K606" i="16"/>
  <c r="K607" i="16"/>
  <c r="K608" i="16"/>
  <c r="K609" i="16"/>
  <c r="K610" i="16"/>
  <c r="K611" i="16"/>
  <c r="K612" i="16"/>
  <c r="K613" i="16"/>
  <c r="K614" i="16"/>
  <c r="K615" i="16"/>
  <c r="K616" i="16"/>
  <c r="K617" i="16"/>
  <c r="K618" i="16"/>
  <c r="K619" i="16"/>
  <c r="K620" i="16"/>
  <c r="K621" i="16"/>
  <c r="K622" i="16"/>
  <c r="K623" i="16"/>
  <c r="K624" i="16"/>
  <c r="K625" i="16"/>
  <c r="K626" i="16"/>
  <c r="K627" i="16"/>
  <c r="K628" i="16"/>
  <c r="K629" i="16"/>
  <c r="K630" i="16"/>
  <c r="K631" i="16"/>
  <c r="K632" i="16"/>
  <c r="K633" i="16"/>
  <c r="K634" i="16"/>
  <c r="K635" i="16"/>
  <c r="K636" i="16"/>
  <c r="K637" i="16"/>
  <c r="K638" i="16"/>
  <c r="K639" i="16"/>
  <c r="K640" i="16"/>
  <c r="K641" i="16"/>
  <c r="K642" i="16"/>
  <c r="K643" i="16"/>
  <c r="K644" i="16"/>
  <c r="K645" i="16"/>
  <c r="K646" i="16"/>
  <c r="K647" i="16"/>
  <c r="K648" i="16"/>
  <c r="K649" i="16"/>
  <c r="K650" i="16"/>
  <c r="K651" i="16"/>
  <c r="K652" i="16"/>
  <c r="K653" i="16"/>
  <c r="K654" i="16"/>
  <c r="K655" i="16"/>
  <c r="K656" i="16"/>
  <c r="K657" i="16"/>
  <c r="K658" i="16"/>
  <c r="K659" i="16"/>
  <c r="K660" i="16"/>
  <c r="K661" i="16"/>
  <c r="K662" i="16"/>
  <c r="K663" i="16"/>
  <c r="K664" i="16"/>
  <c r="K665" i="16"/>
  <c r="K666" i="16"/>
  <c r="K667" i="16"/>
  <c r="K668" i="16"/>
  <c r="K669" i="16"/>
  <c r="K670" i="16"/>
  <c r="K671" i="16"/>
  <c r="K672" i="16"/>
  <c r="K673" i="16"/>
  <c r="K674" i="16"/>
  <c r="K675" i="16"/>
  <c r="K676" i="16"/>
  <c r="K677" i="16"/>
  <c r="K678" i="16"/>
  <c r="K679" i="16"/>
  <c r="K680" i="16"/>
  <c r="K681" i="16"/>
  <c r="K682" i="16"/>
  <c r="K683" i="16"/>
  <c r="K684" i="16"/>
  <c r="K685" i="16"/>
  <c r="K686" i="16"/>
  <c r="K687" i="16"/>
  <c r="K688" i="16"/>
  <c r="K689" i="16"/>
  <c r="K690" i="16"/>
  <c r="K691" i="16"/>
  <c r="K692" i="16"/>
  <c r="K693" i="16"/>
  <c r="K694" i="16"/>
  <c r="K695" i="16"/>
  <c r="K696" i="16"/>
  <c r="K697" i="16"/>
  <c r="K698" i="16"/>
  <c r="K699" i="16"/>
  <c r="K700" i="16"/>
  <c r="K701" i="16"/>
  <c r="K702" i="16"/>
  <c r="K703" i="16"/>
  <c r="K704" i="16"/>
  <c r="K705" i="16"/>
  <c r="K706" i="16"/>
  <c r="K707" i="16"/>
  <c r="K708" i="16"/>
  <c r="K709" i="16"/>
  <c r="K710" i="16"/>
  <c r="K711" i="16"/>
  <c r="K712" i="16"/>
  <c r="K713" i="16"/>
  <c r="K714" i="16"/>
  <c r="K715" i="16"/>
  <c r="K716" i="16"/>
  <c r="K717" i="16"/>
  <c r="K718" i="16"/>
  <c r="K719" i="16"/>
  <c r="K720" i="16"/>
  <c r="K721" i="16"/>
  <c r="K722" i="16"/>
  <c r="K723" i="16"/>
  <c r="K724" i="16"/>
  <c r="K725" i="16"/>
  <c r="K726" i="16"/>
  <c r="K727" i="16"/>
  <c r="K728" i="16"/>
  <c r="K729" i="16"/>
  <c r="K730" i="16"/>
  <c r="K731" i="16"/>
  <c r="K732" i="16"/>
  <c r="K733" i="16"/>
  <c r="K734" i="16"/>
  <c r="K735" i="16"/>
  <c r="K736" i="16"/>
  <c r="K737" i="16"/>
  <c r="K738" i="16"/>
  <c r="K739" i="16"/>
  <c r="K740" i="16"/>
  <c r="K741" i="16"/>
  <c r="K742" i="16"/>
  <c r="K743" i="16"/>
  <c r="K744" i="16"/>
  <c r="K745" i="16"/>
  <c r="K746" i="16"/>
  <c r="K747" i="16"/>
  <c r="K748" i="16"/>
  <c r="K749" i="16"/>
  <c r="K750" i="16"/>
  <c r="K751" i="16"/>
  <c r="K752" i="16"/>
  <c r="K753" i="16"/>
  <c r="K754" i="16"/>
  <c r="K755" i="16"/>
  <c r="K756" i="16"/>
  <c r="K757" i="16"/>
  <c r="K758" i="16"/>
  <c r="K759" i="16"/>
  <c r="K760" i="16"/>
  <c r="K761" i="16"/>
  <c r="K762" i="16"/>
  <c r="K763" i="16"/>
  <c r="K764" i="16"/>
  <c r="K765" i="16"/>
  <c r="K766" i="16"/>
  <c r="K767" i="16"/>
  <c r="K768" i="16"/>
  <c r="K769" i="16"/>
  <c r="K770" i="16"/>
  <c r="K771" i="16"/>
  <c r="K772" i="16"/>
  <c r="K773" i="16"/>
  <c r="K774" i="16"/>
  <c r="K775" i="16"/>
  <c r="K776" i="16"/>
  <c r="K777" i="16"/>
  <c r="K778" i="16"/>
  <c r="K779" i="16"/>
  <c r="K780" i="16"/>
  <c r="K781" i="16"/>
  <c r="K782" i="16"/>
  <c r="K783" i="16"/>
  <c r="K784" i="16"/>
  <c r="K785" i="16"/>
  <c r="K786" i="16"/>
  <c r="K787" i="16"/>
  <c r="K788" i="16"/>
  <c r="K789" i="16"/>
  <c r="K790" i="16"/>
  <c r="K791" i="16"/>
  <c r="K792" i="16"/>
  <c r="K793" i="16"/>
  <c r="K794" i="16"/>
  <c r="K795" i="16"/>
  <c r="K796" i="16"/>
  <c r="K797" i="16"/>
  <c r="K798" i="16"/>
  <c r="K799" i="16"/>
  <c r="K800" i="16"/>
  <c r="K801" i="16"/>
  <c r="K802" i="16"/>
  <c r="K803" i="16"/>
  <c r="K804" i="16"/>
  <c r="K805" i="16"/>
  <c r="K806" i="16"/>
  <c r="K807" i="16"/>
  <c r="K808" i="16"/>
  <c r="K809" i="16"/>
  <c r="K810" i="16"/>
  <c r="K811" i="16"/>
  <c r="K812" i="16"/>
  <c r="K813" i="16"/>
  <c r="K814" i="16"/>
  <c r="K815" i="16"/>
  <c r="K816" i="16"/>
  <c r="K817" i="16"/>
  <c r="K818" i="16"/>
  <c r="K819" i="16"/>
  <c r="K820" i="16"/>
  <c r="K821" i="16"/>
  <c r="K822" i="16"/>
  <c r="K823" i="16"/>
  <c r="K824" i="16"/>
  <c r="K825" i="16"/>
  <c r="K826" i="16"/>
  <c r="K827" i="16"/>
  <c r="K828" i="16"/>
  <c r="K829" i="16"/>
  <c r="K830" i="16"/>
  <c r="K831" i="16"/>
  <c r="K832" i="16"/>
  <c r="K833" i="16"/>
  <c r="K834" i="16"/>
  <c r="K835" i="16"/>
  <c r="K836" i="16"/>
  <c r="K837" i="16"/>
  <c r="K838" i="16"/>
  <c r="K839" i="16"/>
  <c r="K840" i="16"/>
  <c r="K841" i="16"/>
  <c r="K842" i="16"/>
  <c r="K843" i="16"/>
  <c r="K844" i="16"/>
  <c r="K845" i="16"/>
  <c r="K846" i="16"/>
  <c r="K847" i="16"/>
  <c r="K848" i="16"/>
  <c r="K849" i="16"/>
  <c r="K850" i="16"/>
  <c r="K851" i="16"/>
  <c r="K852" i="16"/>
  <c r="K853" i="16"/>
  <c r="K854" i="16"/>
  <c r="K855" i="16"/>
  <c r="K856" i="16"/>
  <c r="K857" i="16"/>
  <c r="K858" i="16"/>
  <c r="K859" i="16"/>
  <c r="K860" i="16"/>
  <c r="K861" i="16"/>
  <c r="K862" i="16"/>
  <c r="K863" i="16"/>
  <c r="K864" i="16"/>
  <c r="K865" i="16"/>
  <c r="K866" i="16"/>
  <c r="K867" i="16"/>
  <c r="K868" i="16"/>
  <c r="K869" i="16"/>
  <c r="K870" i="16"/>
  <c r="K871" i="16"/>
  <c r="K872" i="16"/>
  <c r="K873" i="16"/>
  <c r="K874" i="16"/>
  <c r="K875" i="16"/>
  <c r="K876" i="16"/>
  <c r="K877" i="16"/>
  <c r="K878" i="16"/>
  <c r="K879" i="16"/>
  <c r="K880" i="16"/>
  <c r="K881" i="16"/>
  <c r="K882" i="16"/>
  <c r="K883" i="16"/>
  <c r="K884" i="16"/>
  <c r="K885" i="16"/>
  <c r="K886" i="16"/>
  <c r="K887" i="16"/>
  <c r="K888" i="16"/>
  <c r="K889" i="16"/>
  <c r="K890" i="16"/>
  <c r="K891" i="16"/>
  <c r="K892" i="16"/>
  <c r="K893" i="16"/>
  <c r="K894" i="16"/>
  <c r="K895" i="16"/>
  <c r="K896" i="16"/>
  <c r="K897" i="16"/>
  <c r="K898" i="16"/>
  <c r="K899" i="16"/>
  <c r="K900" i="16"/>
  <c r="K901" i="16"/>
  <c r="K902" i="16"/>
  <c r="K903" i="16"/>
  <c r="K904" i="16"/>
  <c r="K905" i="16"/>
  <c r="K906" i="16"/>
  <c r="K907" i="16"/>
  <c r="K908" i="16"/>
  <c r="K909" i="16"/>
  <c r="K910" i="16"/>
  <c r="K911" i="16"/>
  <c r="K912" i="16"/>
  <c r="K913" i="16"/>
  <c r="K914" i="16"/>
  <c r="K915" i="16"/>
  <c r="K916" i="16"/>
  <c r="K917" i="16"/>
  <c r="K918" i="16"/>
  <c r="K919" i="16"/>
  <c r="K920" i="16"/>
  <c r="K921" i="16"/>
  <c r="K922" i="16"/>
  <c r="K923" i="16"/>
  <c r="K924" i="16"/>
  <c r="K925" i="16"/>
  <c r="K926" i="16"/>
  <c r="K927" i="16"/>
  <c r="K928" i="16"/>
  <c r="K929" i="16"/>
  <c r="K930" i="16"/>
  <c r="K931" i="16"/>
  <c r="K932" i="16"/>
  <c r="K933" i="16"/>
  <c r="K934" i="16"/>
  <c r="K935" i="16"/>
  <c r="K936" i="16"/>
  <c r="K937" i="16"/>
  <c r="K938" i="16"/>
  <c r="K939" i="16"/>
  <c r="K940" i="16"/>
  <c r="K941" i="16"/>
  <c r="K942" i="16"/>
  <c r="K943" i="16"/>
  <c r="K944" i="16"/>
  <c r="K945" i="16"/>
  <c r="K946" i="16"/>
  <c r="K947" i="16"/>
  <c r="K948" i="16"/>
  <c r="K949" i="16"/>
  <c r="K950" i="16"/>
  <c r="K951" i="16"/>
  <c r="K952" i="16"/>
  <c r="K953" i="16"/>
  <c r="K954" i="16"/>
  <c r="K955" i="16"/>
  <c r="K956" i="16"/>
  <c r="K957" i="16"/>
  <c r="K958" i="16"/>
  <c r="K959" i="16"/>
  <c r="K960" i="16"/>
  <c r="K961" i="16"/>
  <c r="K962" i="16"/>
  <c r="K963" i="16"/>
  <c r="K964" i="16"/>
  <c r="K965" i="16"/>
  <c r="K966" i="16"/>
  <c r="K967" i="16"/>
  <c r="K968" i="16"/>
  <c r="K969" i="16"/>
  <c r="K970" i="16"/>
  <c r="K971" i="16"/>
  <c r="K972" i="16"/>
  <c r="K973" i="16"/>
  <c r="K974" i="16"/>
  <c r="K975" i="16"/>
  <c r="K976" i="16"/>
  <c r="K977" i="16"/>
  <c r="K978" i="16"/>
  <c r="K979" i="16"/>
  <c r="K980" i="16"/>
  <c r="K981" i="16"/>
  <c r="K982" i="16"/>
  <c r="K983" i="16"/>
  <c r="K984" i="16"/>
  <c r="K985" i="16"/>
  <c r="K986" i="16"/>
  <c r="K987" i="16"/>
  <c r="K988" i="16"/>
  <c r="K989" i="16"/>
  <c r="K990" i="16"/>
  <c r="K991" i="16"/>
  <c r="K992" i="16"/>
  <c r="K993" i="16"/>
  <c r="K994" i="16"/>
  <c r="K995" i="16"/>
  <c r="K996" i="16"/>
  <c r="K997" i="16"/>
  <c r="K998" i="16"/>
  <c r="K999" i="16"/>
  <c r="K1000" i="16"/>
  <c r="K1001" i="16"/>
  <c r="K1002" i="16"/>
  <c r="K1003" i="16"/>
  <c r="K1004" i="16"/>
  <c r="K1005" i="16"/>
  <c r="K1006" i="16"/>
  <c r="K1007" i="16"/>
  <c r="K1008" i="16"/>
  <c r="K1009" i="16"/>
  <c r="K1010" i="16"/>
  <c r="K1011" i="16"/>
  <c r="K1012" i="16"/>
  <c r="K1013" i="16"/>
  <c r="K1014" i="16"/>
  <c r="K1015" i="16"/>
  <c r="K1016" i="16"/>
  <c r="K1017" i="16"/>
  <c r="K1018" i="16"/>
  <c r="K1019" i="16"/>
  <c r="K1020" i="16"/>
  <c r="K1021" i="16"/>
  <c r="K1022" i="16"/>
  <c r="K1023" i="16"/>
  <c r="K1024" i="16"/>
  <c r="K1025" i="16"/>
  <c r="K1026" i="16"/>
  <c r="K1027" i="16"/>
  <c r="K1028" i="16"/>
  <c r="K1029" i="16"/>
  <c r="K1030" i="16"/>
  <c r="K1031" i="16"/>
  <c r="K1032" i="16"/>
  <c r="K1033" i="16"/>
  <c r="K1034" i="16"/>
  <c r="K1035" i="16"/>
  <c r="K1036" i="16"/>
  <c r="K1037" i="16"/>
  <c r="K1038" i="16"/>
  <c r="K1039" i="16"/>
  <c r="K1040" i="16"/>
  <c r="K1041" i="16"/>
  <c r="K1042" i="16"/>
  <c r="K1043" i="16"/>
  <c r="K1044" i="16"/>
  <c r="K1045" i="16"/>
  <c r="K1046" i="16"/>
  <c r="K1047" i="16"/>
  <c r="K1048" i="16"/>
  <c r="K1049" i="16"/>
  <c r="K1050" i="16"/>
  <c r="K1051" i="16"/>
  <c r="K1052" i="16"/>
  <c r="K1053" i="16"/>
  <c r="K1054" i="16"/>
  <c r="K1055" i="16"/>
  <c r="K1056" i="16"/>
  <c r="K1057" i="16"/>
  <c r="K1058" i="16"/>
  <c r="K1059" i="16"/>
  <c r="K1060" i="16"/>
  <c r="K1061" i="16"/>
  <c r="K1062" i="16"/>
  <c r="K1063" i="16"/>
  <c r="K1064" i="16"/>
  <c r="K1065" i="16"/>
  <c r="K1066" i="16"/>
  <c r="K1067" i="16"/>
  <c r="K1068" i="16"/>
  <c r="K1069" i="16"/>
  <c r="K1070" i="16"/>
  <c r="K1071" i="16"/>
  <c r="K1072" i="16"/>
  <c r="K1073" i="16"/>
  <c r="K1074" i="16"/>
  <c r="K1075" i="16"/>
  <c r="K1076" i="16"/>
  <c r="K1077" i="16"/>
  <c r="K1078" i="16"/>
  <c r="K1079" i="16"/>
  <c r="K1080" i="16"/>
  <c r="K1081" i="16"/>
  <c r="K1082" i="16"/>
  <c r="K1083" i="16"/>
  <c r="K1084" i="16"/>
  <c r="K1085" i="16"/>
  <c r="K1086" i="16"/>
  <c r="K1087" i="16"/>
  <c r="K1088" i="16"/>
  <c r="K1089" i="16"/>
  <c r="K1090" i="16"/>
  <c r="K1091" i="16"/>
  <c r="K1092" i="16"/>
  <c r="K1093" i="16"/>
  <c r="K1094" i="16"/>
  <c r="K1095" i="16"/>
  <c r="K1096" i="16"/>
  <c r="K1097" i="16"/>
  <c r="K1098" i="16"/>
  <c r="K1099" i="16"/>
  <c r="K1100" i="16"/>
  <c r="K1101" i="16"/>
  <c r="K1102" i="16"/>
  <c r="K1103" i="16"/>
  <c r="K1104" i="16"/>
  <c r="K1105" i="16"/>
  <c r="K1106" i="16"/>
  <c r="K1107" i="16"/>
  <c r="K1108" i="16"/>
  <c r="K1109" i="16"/>
  <c r="K1110" i="16"/>
  <c r="K1111" i="16"/>
  <c r="K1112" i="16"/>
  <c r="K1113" i="16"/>
  <c r="K1114" i="16"/>
  <c r="K1115" i="16"/>
  <c r="K1116" i="16"/>
  <c r="K1117" i="16"/>
  <c r="K1118" i="16"/>
  <c r="K1119" i="16"/>
  <c r="K1120" i="16"/>
  <c r="K1121" i="16"/>
  <c r="K1122" i="16"/>
  <c r="K1123" i="16"/>
  <c r="K1124" i="16"/>
  <c r="K1125" i="16"/>
  <c r="K1126" i="16"/>
  <c r="K1127" i="16"/>
  <c r="K1128" i="16"/>
  <c r="K1129" i="16"/>
  <c r="K1130" i="16"/>
  <c r="K1131" i="16"/>
  <c r="K1132" i="16"/>
  <c r="K1133" i="16"/>
  <c r="K1134" i="16"/>
  <c r="K1135" i="16"/>
  <c r="K1136" i="16"/>
  <c r="K1137" i="16"/>
  <c r="K1138" i="16"/>
  <c r="K1139" i="16"/>
  <c r="K1140" i="16"/>
  <c r="K1141" i="16"/>
  <c r="K1142" i="16"/>
  <c r="K1143" i="16"/>
  <c r="K1144" i="16"/>
  <c r="K1145" i="16"/>
  <c r="K1146" i="16"/>
  <c r="K1147" i="16"/>
  <c r="K1148" i="16"/>
  <c r="K1149" i="16"/>
  <c r="K1150" i="16"/>
  <c r="K1151" i="16"/>
  <c r="K1152" i="16"/>
  <c r="K1153" i="16"/>
  <c r="K1154" i="16"/>
  <c r="K1155" i="16"/>
  <c r="K1156" i="16"/>
  <c r="K1157" i="16"/>
  <c r="K1158" i="16"/>
  <c r="K1159" i="16"/>
  <c r="K1160" i="16"/>
  <c r="K1161" i="16"/>
  <c r="K1162" i="16"/>
  <c r="K1163" i="16"/>
  <c r="K1164" i="16"/>
  <c r="K1165" i="16"/>
  <c r="K1166" i="16"/>
  <c r="K1167" i="16"/>
  <c r="K1168" i="16"/>
  <c r="K1169" i="16"/>
  <c r="K1170" i="16"/>
  <c r="K1171" i="16"/>
  <c r="K1172" i="16"/>
  <c r="K1173" i="16"/>
  <c r="K1174" i="16"/>
  <c r="K1175" i="16"/>
  <c r="K1176" i="16"/>
  <c r="K1177" i="16"/>
  <c r="K1178" i="16"/>
  <c r="K1179" i="16"/>
  <c r="K1180" i="16"/>
  <c r="K1181" i="16"/>
  <c r="K1182" i="16"/>
  <c r="K1183" i="16"/>
  <c r="K1184" i="16"/>
  <c r="K1185" i="16"/>
  <c r="K1186" i="16"/>
  <c r="K1187" i="16"/>
  <c r="K1188" i="16"/>
  <c r="K1189" i="16"/>
  <c r="K1190" i="16"/>
  <c r="K1191" i="16"/>
  <c r="K1192" i="16"/>
  <c r="K1193" i="16"/>
  <c r="K1194" i="16"/>
  <c r="K1195" i="16"/>
  <c r="K1196" i="16"/>
  <c r="K1197" i="16"/>
  <c r="K1198" i="16"/>
  <c r="K1199" i="16"/>
  <c r="K1200" i="16"/>
  <c r="K1201" i="16"/>
  <c r="K1202" i="16"/>
  <c r="K1203" i="16"/>
  <c r="K1204" i="16"/>
  <c r="K1205" i="16"/>
  <c r="K1206" i="16"/>
  <c r="K1207" i="16"/>
  <c r="K1208" i="16"/>
  <c r="K1209" i="16"/>
  <c r="K1210" i="16"/>
  <c r="K1211" i="16"/>
  <c r="K1212" i="16"/>
  <c r="K1213" i="16"/>
  <c r="K1214" i="16"/>
  <c r="K1215" i="16"/>
  <c r="K1216" i="16"/>
  <c r="K1217" i="16"/>
  <c r="K1218" i="16"/>
  <c r="K1219" i="16"/>
  <c r="K1220" i="16"/>
  <c r="K1221" i="16"/>
  <c r="K1222" i="16"/>
  <c r="K1223" i="16"/>
  <c r="K1224" i="16"/>
  <c r="K1225" i="16"/>
  <c r="K1226" i="16"/>
  <c r="K1227" i="16"/>
  <c r="K1228" i="16"/>
  <c r="K1229" i="16"/>
  <c r="K1230" i="16"/>
  <c r="K1231" i="16"/>
  <c r="K1232" i="16"/>
  <c r="K1233" i="16"/>
  <c r="K1234" i="16"/>
  <c r="K1235" i="16"/>
  <c r="K1236" i="16"/>
  <c r="K1237" i="16"/>
  <c r="K1238" i="16"/>
  <c r="K1239" i="16"/>
  <c r="K1240" i="16"/>
  <c r="K1241" i="16"/>
  <c r="K1242" i="16"/>
  <c r="K1243" i="16"/>
  <c r="K1244" i="16"/>
  <c r="K1245" i="16"/>
  <c r="K1246" i="16"/>
  <c r="K1247" i="16"/>
  <c r="K1248" i="16"/>
  <c r="K1249" i="16"/>
  <c r="K1250" i="16"/>
  <c r="K1251" i="16"/>
  <c r="K1252" i="16"/>
  <c r="K1253" i="16"/>
  <c r="K1254" i="16"/>
  <c r="K1255" i="16"/>
  <c r="K1256" i="16"/>
  <c r="K1257" i="16"/>
  <c r="K1258" i="16"/>
  <c r="K1259" i="16"/>
  <c r="K1260" i="16"/>
  <c r="K1261" i="16"/>
  <c r="K1262" i="16"/>
  <c r="K1263" i="16"/>
  <c r="K1264" i="16"/>
  <c r="K1265" i="16"/>
  <c r="K1266" i="16"/>
  <c r="K1267" i="16"/>
  <c r="K1268" i="16"/>
  <c r="K1269" i="16"/>
  <c r="K1270" i="16"/>
  <c r="K1271" i="16"/>
  <c r="K1272" i="16"/>
  <c r="K1273" i="16"/>
  <c r="K1274" i="16"/>
  <c r="K1275" i="16"/>
  <c r="K1276" i="16"/>
  <c r="K1277" i="16"/>
  <c r="K1278" i="16"/>
  <c r="K1279" i="16"/>
  <c r="K1280" i="16"/>
  <c r="K1281" i="16"/>
  <c r="K1282" i="16"/>
  <c r="K1283" i="16"/>
  <c r="K1284" i="16"/>
  <c r="K1285" i="16"/>
  <c r="K1286" i="16"/>
  <c r="K1287" i="16"/>
  <c r="K1288" i="16"/>
  <c r="K1289" i="16"/>
  <c r="K1290" i="16"/>
  <c r="K1291" i="16"/>
  <c r="K1292" i="16"/>
  <c r="K1293" i="16"/>
  <c r="K1294" i="16"/>
  <c r="K1295" i="16"/>
  <c r="K1296" i="16"/>
  <c r="K1297" i="16"/>
  <c r="K1298" i="16"/>
  <c r="K1299" i="16"/>
  <c r="K1300" i="16"/>
  <c r="K1301" i="16"/>
  <c r="K1302" i="16"/>
  <c r="K1303" i="16"/>
  <c r="K1304" i="16"/>
  <c r="E8" i="18" l="1"/>
  <c r="E11" i="18" s="1"/>
  <c r="F9"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C139C8-71B0-4306-8790-6F4D68F8396D}" keepAlive="1" name="Query - merged" description="Connection to the 'merged' query in the workbook." type="5" refreshedVersion="0" background="1">
    <dbPr connection="Provider=Microsoft.Mashup.OleDb.1;Data Source=$Workbook$;Location=merged;Extended Properties=&quot;&quot;" command="SELECT * FROM [merged]"/>
  </connection>
  <connection id="2" xr16:uid="{FC1C70DD-21B8-4687-A406-1C4AFA288ED9}" keepAlive="1" name="Query - merged(1)" description="Connection to the 'merged' query in the workbook." type="5" refreshedVersion="8" background="1" saveData="1">
    <dbPr connection="Provider=Microsoft.Mashup.OleDb.1;Data Source=$Workbook$;Location=merged;Extended Properties=&quot;&quot;" command="SELECT * FROM [merged]"/>
  </connection>
  <connection id="3" xr16:uid="{D10B5087-3671-4B3C-AC13-CA0484ED1127}" keepAlive="1" name="Query - Newclients" description="Connection to the 'Newclients' query in the workbook." type="5" refreshedVersion="8" background="1" saveData="1">
    <dbPr connection="Provider=Microsoft.Mashup.OleDb.1;Data Source=$Workbook$;Location=Newclients;Extended Properties=&quot;&quot;" command="SELECT * FROM [Newclients]"/>
  </connection>
  <connection id="4" xr16:uid="{DF412E42-504B-4345-8AE8-6E55A86E2034}" keepAlive="1" name="Query - Newclients (2)" description="Connection to the 'Newclients (2)' query in the workbook." type="5" refreshedVersion="0" background="1">
    <dbPr connection="Provider=Microsoft.Mashup.OleDb.1;Data Source=$Workbook$;Location=&quot;Newclients (2)&quot;;Extended Properties=&quot;&quot;" command="SELECT * FROM [Newclients (2)]"/>
  </connection>
  <connection id="5" xr16:uid="{8CE337D9-0C55-423E-8F02-9676C9A0618C}" keepAlive="1" name="Query - Newclients (3)" description="Connection to the 'Newclients (3)' query in the workbook." type="5" refreshedVersion="8" background="1" saveData="1">
    <dbPr connection="Provider=Microsoft.Mashup.OleDb.1;Data Source=$Workbook$;Location=&quot;Newclients (3)&quot;;Extended Properties=&quot;&quot;" command="SELECT * FROM [Newclients (3)]"/>
  </connection>
  <connection id="6" xr16:uid="{7004B543-F85A-4085-A10A-AA37EEAC5E13}" keepAlive="1" name="Query - oldclients" description="Connection to the 'oldclients' query in the workbook." type="5" refreshedVersion="8" background="1" saveData="1">
    <dbPr connection="Provider=Microsoft.Mashup.OleDb.1;Data Source=$Workbook$;Location=oldclients;Extended Properties=&quot;&quot;" command="SELECT * FROM [oldclients]"/>
  </connection>
  <connection id="7" xr16:uid="{B6928C37-B011-42FC-A220-BA77A0949A9B}" keepAlive="1" name="Query - oldclients (2)" description="Connection to the 'oldclients (2)' query in the workbook." type="5" refreshedVersion="8" background="1" saveData="1">
    <dbPr connection="Provider=Microsoft.Mashup.OleDb.1;Data Source=$Workbook$;Location=&quot;oldclients (2)&quot;;Extended Properties=&quot;&quot;" command="SELECT * FROM [oldclients (2)]"/>
  </connection>
</connections>
</file>

<file path=xl/sharedStrings.xml><?xml version="1.0" encoding="utf-8"?>
<sst xmlns="http://schemas.openxmlformats.org/spreadsheetml/2006/main" count="2530" uniqueCount="243">
  <si>
    <t>Existing</t>
  </si>
  <si>
    <t>New</t>
  </si>
  <si>
    <t>Age</t>
  </si>
  <si>
    <t>Government Sector Worker</t>
  </si>
  <si>
    <t>GraduateOrNot</t>
  </si>
  <si>
    <t>AnnualIncome</t>
  </si>
  <si>
    <t>FamilyMembers</t>
  </si>
  <si>
    <t>ChronicDiseases</t>
  </si>
  <si>
    <t>FrequentFlyer</t>
  </si>
  <si>
    <t>EverTravelledAbroad</t>
  </si>
  <si>
    <t>TravelInsurance</t>
  </si>
  <si>
    <t>Clienttype</t>
  </si>
  <si>
    <t>Mean</t>
  </si>
  <si>
    <t>Standard Error</t>
  </si>
  <si>
    <t>Median</t>
  </si>
  <si>
    <t>Mode</t>
  </si>
  <si>
    <t>Standard Deviation</t>
  </si>
  <si>
    <t>Sample Variance</t>
  </si>
  <si>
    <t>Kurtosis</t>
  </si>
  <si>
    <t>Skewness</t>
  </si>
  <si>
    <t>Range</t>
  </si>
  <si>
    <t>Minimum</t>
  </si>
  <si>
    <t>Maximum</t>
  </si>
  <si>
    <t>Sum</t>
  </si>
  <si>
    <t>Count</t>
  </si>
  <si>
    <t>Column1</t>
  </si>
  <si>
    <t>Column2</t>
  </si>
  <si>
    <t>Column3</t>
  </si>
  <si>
    <t>Value</t>
  </si>
  <si>
    <t>Value2</t>
  </si>
  <si>
    <t>Value3</t>
  </si>
  <si>
    <t>Value22</t>
  </si>
  <si>
    <t>AnnualIncome (Insured )</t>
  </si>
  <si>
    <t>AnnualIncome (Not Insured)</t>
  </si>
  <si>
    <t>t-Test: Two-Sample Assuming Unequal Variances</t>
  </si>
  <si>
    <t>Variance</t>
  </si>
  <si>
    <t>Observations</t>
  </si>
  <si>
    <t>Hypothesized Mean Difference</t>
  </si>
  <si>
    <t>df</t>
  </si>
  <si>
    <t>t Stat</t>
  </si>
  <si>
    <t>P(T&lt;=t) one-tail</t>
  </si>
  <si>
    <t>t Critical one-tail</t>
  </si>
  <si>
    <t>P(T&lt;=t) two-tail</t>
  </si>
  <si>
    <t>t Critical two-tail</t>
  </si>
  <si>
    <t>Age(Insured)Age(not insured)</t>
  </si>
  <si>
    <t>FamilyMembers ( Not Insured )</t>
  </si>
  <si>
    <t>FamilyMembers (insured)</t>
  </si>
  <si>
    <t>5.72831682339152 × 10⁻²⁵</t>
  </si>
  <si>
    <t>SUMMARY OUTPUT</t>
  </si>
  <si>
    <t>Regression Statistics</t>
  </si>
  <si>
    <t>Multiple R</t>
  </si>
  <si>
    <t>R Square</t>
  </si>
  <si>
    <t>Adjusted R Square</t>
  </si>
  <si>
    <t>ANOVA</t>
  </si>
  <si>
    <t>Regression</t>
  </si>
  <si>
    <t>Residual</t>
  </si>
  <si>
    <t>Total</t>
  </si>
  <si>
    <t>Intercept</t>
  </si>
  <si>
    <t>SS</t>
  </si>
  <si>
    <t>MS</t>
  </si>
  <si>
    <t>F</t>
  </si>
  <si>
    <t>Significance F</t>
  </si>
  <si>
    <t>Coefficients</t>
  </si>
  <si>
    <t>P-value</t>
  </si>
  <si>
    <t>Lower 95%</t>
  </si>
  <si>
    <t>Upper 95%</t>
  </si>
  <si>
    <t>Lower 95.0%</t>
  </si>
  <si>
    <t>Upper 95.0%</t>
  </si>
  <si>
    <t>CHI-SQUARE TEST OF INDEPENDENCE — COMPLETE ANALYSIS</t>
  </si>
  <si>
    <t>H₀: The two variables are INDEPENDENT (no association)   |   H₁: The two variables are ASSOCIATED   |   α = 0.05   |   Reject H₀ if p &lt; 0.05</t>
  </si>
  <si>
    <t>SECTION A  ─  BINARY VARIABLE ASSOCIATIONS  (Old Clients, n = 452)  —  All 10 Pairs Tested</t>
  </si>
  <si>
    <t>Variable 1</t>
  </si>
  <si>
    <t>Variable 2</t>
  </si>
  <si>
    <t>χ² Statistic</t>
  </si>
  <si>
    <t>p-value</t>
  </si>
  <si>
    <t>Cramér's V</t>
  </si>
  <si>
    <t>Significant?</t>
  </si>
  <si>
    <t>Effect Size</t>
  </si>
  <si>
    <t>Interpretation</t>
  </si>
  <si>
    <t>No</t>
  </si>
  <si>
    <t>Negligible</t>
  </si>
  <si>
    <t>Govt workers are NOT more/less likely to be graduates. No meaningful link between sector and education.</t>
  </si>
  <si>
    <t>No association. Govt sector employment does NOT predict chronic disease status.</t>
  </si>
  <si>
    <t>YES ✓</t>
  </si>
  <si>
    <t>Small</t>
  </si>
  <si>
    <t>SIGNIFICANT: Govt sector workers are disproportionately represented among frequent flyers. Possible job-related travel.</t>
  </si>
  <si>
    <t>No association. Govt sector employment has no link to international travel history.</t>
  </si>
  <si>
    <t>No significant relationship between education and chronic disease in this sample.</t>
  </si>
  <si>
    <t>No association. Graduate status does NOT predict frequent flying behaviour.</t>
  </si>
  <si>
    <t>No association. Education level does NOT predict international travel history.</t>
  </si>
  <si>
    <t>No significant link between chronic disease and frequent flying.</t>
  </si>
  <si>
    <t>No association. Chronic disease status does NOT affect international travel history.</t>
  </si>
  <si>
    <t>No significant association between frequent flying and ever travelling abroad in old clients.</t>
  </si>
  <si>
    <t>KEY INSIGHT (Section A): Only 1 out of 10 binary variable pairs shows a significant association: Government Sector Worker × Frequent Flyer (χ²=7.79, p=0.005, V=0.131 — small effect). This suggests govt workers are disproportionately frequent flyers, possibly due to official travel. All other 9 pairs are INDEPENDENT — the binary risk factors in this dataset largely do not influence each other.</t>
  </si>
  <si>
    <t>SECTION B  ─  OLD CLIENTS vs NEW CLIENTS  —  Binary Variable Proportion Comparison (n_old=452, n_new=1,303)</t>
  </si>
  <si>
    <t>Binary Variable</t>
  </si>
  <si>
    <t>Old % (Yes)</t>
  </si>
  <si>
    <t>New % (Yes)</t>
  </si>
  <si>
    <t>Old Count (Yes)</t>
  </si>
  <si>
    <t>New Count (Yes)</t>
  </si>
  <si>
    <t>30.5%</t>
  </si>
  <si>
    <t>30.1%</t>
  </si>
  <si>
    <t>Both groups have ~30.3% govt workers. Proportions are IDENTICAL — no significant difference. Old and new client bases have the same sector composition.</t>
  </si>
  <si>
    <t>85.4%</t>
  </si>
  <si>
    <t>85.3%</t>
  </si>
  <si>
    <t>Both groups ~85.3% graduates. Proportions are IDENTICAL — education level is consistent across both client pools. No selection bias.</t>
  </si>
  <si>
    <t>27.0%</t>
  </si>
  <si>
    <t>27.6%</t>
  </si>
  <si>
    <t>Both groups ~27% with chronic diseases. NO significant difference. Health profile of old and new clients is statistically the same.</t>
  </si>
  <si>
    <t>14.6%</t>
  </si>
  <si>
    <t>20.9%</t>
  </si>
  <si>
    <t>SIGNIFICANT: New clients have notably more frequent flyers (20.9%) vs old clients (14.6%). New client base is more travel-active — higher insurance receptivity expected.</t>
  </si>
  <si>
    <t>7.1%</t>
  </si>
  <si>
    <t>19.3%</t>
  </si>
  <si>
    <t>&lt;0.001</t>
  </si>
  <si>
    <t>SIGNIFICANT: New clients have substantially more international travellers (19.3%) vs old clients (7.1%). This is a CRITICAL finding — new clients have 2.7× more international travel experience, suggesting much higher insurance potential.</t>
  </si>
  <si>
    <t>KEY INSIGHT (Section B): 2 of 5 binary variables differ significantly between old and new clients. Frequent Flyer: New clients 20.9% vs Old 14.6% (χ²=8.09, p=0.004). Ever Travelled Abroad: New clients 19.3% vs Old 7.1% (χ²=35.94, p&lt;0.001) — this is the STRONGEST finding. New clients are 2.7× more internationally experienced than old clients, making them a prime target for travel insurance marketing.</t>
  </si>
  <si>
    <t>SECTION C  ─  2×2 CONTINGENCY TABLES — OLD vs NEW CLIENTS (All Binary Variables)</t>
  </si>
  <si>
    <t>Variable: Government Sector Worker</t>
  </si>
  <si>
    <t>Yes (=1)</t>
  </si>
  <si>
    <t>No (=0)</t>
  </si>
  <si>
    <t>Row Total</t>
  </si>
  <si>
    <t>% Yes</t>
  </si>
  <si>
    <t>% No</t>
  </si>
  <si>
    <t>Old Clients (n=452)</t>
  </si>
  <si>
    <t>69.5%</t>
  </si>
  <si>
    <t>New Clients (n=1303)</t>
  </si>
  <si>
    <t>69.9%</t>
  </si>
  <si>
    <t>Column Total</t>
  </si>
  <si>
    <t>30.2%</t>
  </si>
  <si>
    <t>69.8%</t>
  </si>
  <si>
    <t>Variable: GraduateOrNot</t>
  </si>
  <si>
    <t>14.7%</t>
  </si>
  <si>
    <t>Variable: ChronicDiseases</t>
  </si>
  <si>
    <t>73.0%</t>
  </si>
  <si>
    <t>72.4%</t>
  </si>
  <si>
    <t>27.5%</t>
  </si>
  <si>
    <t>72.5%</t>
  </si>
  <si>
    <t>Variable: FrequentFlyer</t>
  </si>
  <si>
    <t>79.1%</t>
  </si>
  <si>
    <t>80.7%</t>
  </si>
  <si>
    <t>Variable: EverTravelledAbroad</t>
  </si>
  <si>
    <t>92.9%</t>
  </si>
  <si>
    <t>16.1%</t>
  </si>
  <si>
    <t>83.9%</t>
  </si>
  <si>
    <t>Factor</t>
  </si>
  <si>
    <t>Old Clients %</t>
  </si>
  <si>
    <t>New Clients %</t>
  </si>
  <si>
    <t>Government</t>
  </si>
  <si>
    <t>Graduate</t>
  </si>
  <si>
    <t>Chronic Dis</t>
  </si>
  <si>
    <t>Freq Flyer</t>
  </si>
  <si>
    <t>Abroad</t>
  </si>
  <si>
    <t>graduate</t>
  </si>
  <si>
    <t>no - graduate</t>
  </si>
  <si>
    <t>Govt</t>
  </si>
  <si>
    <t>not- govt</t>
  </si>
  <si>
    <t>Create Expected Table</t>
  </si>
  <si>
    <t>Chi test</t>
  </si>
  <si>
    <t>chi-square value is 3.16</t>
  </si>
  <si>
    <t>NO STATISTICALLY SIGNIFICANT</t>
  </si>
  <si>
    <t>NORMALITY TEST ANALYSIS  —  SHAPIRO-WILK TEST</t>
  </si>
  <si>
    <t>H₀: Data is normally distributed   |   H₁: Data is NOT normally distributed   |   α = 0.05   |   Reject H₀ if p-value &lt; 0.05</t>
  </si>
  <si>
    <t>SECTION A  ─  OLD CLIENTS  (n = 452)  |  Continuous Variables</t>
  </si>
  <si>
    <t>Variable</t>
  </si>
  <si>
    <t>n</t>
  </si>
  <si>
    <t>W Statistic</t>
  </si>
  <si>
    <t>Normal?</t>
  </si>
  <si>
    <t>Decision</t>
  </si>
  <si>
    <t>No ✗</t>
  </si>
  <si>
    <t>Reject H₀ ✗</t>
  </si>
  <si>
    <t>Age in old clients (mean=29.5 yrs) is right-skewed (skew=0.44). Distribution is NOT normal — data clusters around 25-32 yrs with a tail toward 35.</t>
  </si>
  <si>
    <t>Income (mean=₹8.4L) is near-symmetric (skew=0.076) but platykurtic (kurt=-0.856) — flatter than normal. NOT normally distributed.</t>
  </si>
  <si>
    <t>Family size (mean=4.76) is positively skewed (skew=0.738), indicating most families have 3-5 members with fewer large families. NOT normal.</t>
  </si>
  <si>
    <t>KEY INSIGHT (Old Clients): ALL three continuous variables FAIL the Shapiro-Wilk normality test (all p &lt; 0.001). None follow a normal distribution. Age and Family Members show right skewness. However, with n=452, the Central Limit Theorem ensures T-Tests remain statistically valid despite non-normality.</t>
  </si>
  <si>
    <t>SECTION B  ─  NEW CLIENTS  (n = 1,303)  |  Continuous Variables</t>
  </si>
  <si>
    <t>Age in new clients (mean=29.7 yrs) similar to old clients. Slightly right-skewed (skew=0.236). Platykurtic (kurt=-1.115). NOT normal.</t>
  </si>
  <si>
    <t>Income (mean=₹9.2L) near-symmetric (skew=0.118) but very flat distribution (kurt=-1.029). Wide spread ₹3L-₹18L. NOT normal.</t>
  </si>
  <si>
    <t>Family size (mean=4.71) positively skewed (skew=0.528). Similar pattern to old clients. NOT normally distributed.</t>
  </si>
  <si>
    <t>KEY INSIGHT (New Clients): Same pattern as old clients — all three variables FAIL normality (p &lt; 0.001). Kurtosis values are negative (platykurtic) for Age and Income, meaning distributions are flatter than a normal curve. This is consistent between both datasets — indicating a structurally similar population.</t>
  </si>
  <si>
    <t>SECTION C  ─  NORMALITY TEST SUMMARY &amp; STATISTICAL IMPLICATIONS</t>
  </si>
  <si>
    <t>Old W</t>
  </si>
  <si>
    <t>Old p</t>
  </si>
  <si>
    <t>Old Result</t>
  </si>
  <si>
    <t>New W</t>
  </si>
  <si>
    <t>New p</t>
  </si>
  <si>
    <t>New Result</t>
  </si>
  <si>
    <t>Consistent?</t>
  </si>
  <si>
    <t>Implication for Further Tests</t>
  </si>
  <si>
    <t>NOT Normal</t>
  </si>
  <si>
    <t>Yes — both fail</t>
  </si>
  <si>
    <t>Use T-Test (n&gt;30, CLT valid). Avoid assuming normality in small subgroups.</t>
  </si>
  <si>
    <t>T-Test valid due to large n. Non-parametric Mann-Whitney U as alternative.</t>
  </si>
  <si>
    <t>Discrete variable. Median comparison more meaningful than mean comparison.</t>
  </si>
  <si>
    <t>OVERALL NORMALITY CONCLUSION: None of the 6 continuous variable tests (3 variables × 2 datasets) pass the Shapiro-Wilk test. All W statistics are close to 1.0 (range: 0.922–0.963), indicating mild — not severe — deviation from normality. Given large sample sizes (n=452 and n=1,303), parametric tests (T-Test, ANOVA) remain valid by the Central Limit Theorem. Q-Q plots would visually confirm these deviations.</t>
  </si>
  <si>
    <t>Normal threshold</t>
  </si>
  <si>
    <t>FINDING-BY-FINDING INTERPRETATION — ALL NORMALITY &amp; CHI-SQUARE RESULTS</t>
  </si>
  <si>
    <t>#</t>
  </si>
  <si>
    <t>Finding</t>
  </si>
  <si>
    <t>Test Used</t>
  </si>
  <si>
    <t>Scope</t>
  </si>
  <si>
    <t>Full Interpretation</t>
  </si>
  <si>
    <t>1</t>
  </si>
  <si>
    <t>NORMALITY TEST — WHAT IT TESTS</t>
  </si>
  <si>
    <t>Shapiro-Wilk W Statistic + p-value</t>
  </si>
  <si>
    <t>All 6 tests (3 vars × 2 groups)</t>
  </si>
  <si>
    <t>The Shapiro-Wilk test checks whether a continuous variable comes from a normal (bell-curve) distribution. W values range from 0 to 1. W = 1.0 means perfectly normal. Our results: Age (W=0.926), Income (W=0.959–0.963), Family Members (W=0.922–0.940). All W values are close to 1.0, suggesting MILD deviation — not severe. But with large samples even small deviations are statistically detectable, so all six tests reject normality (p &lt; 0.001).</t>
  </si>
  <si>
    <t>2</t>
  </si>
  <si>
    <t>WHY ALL VARIABLES FAIL NORMALITY</t>
  </si>
  <si>
    <t>Skewness &amp; Kurtosis Analysis</t>
  </si>
  <si>
    <t>Consistent across both groups</t>
  </si>
  <si>
    <t>Age: Positively skewed (right tail) — most clients aged 25-30, fewer aged 33-35. Skewness = 0.24-0.44 (mild). Income: Near-symmetric (skew ≈ 0.08-0.12) but PLATYKURTIC (negative kurtosis = flatter than normal) — income spread is more uniform than a true bell curve. Family Members: Most right-skewed variable (skew 0.53-0.74) — most clients have 3-5 members with a tail of larger families. All deviations are consistent across Old and New clients, confirming same population structure.</t>
  </si>
  <si>
    <t>3</t>
  </si>
  <si>
    <t>NORMALITY — PRACTICAL IMPLICATION</t>
  </si>
  <si>
    <t>Central Limit Theorem (CLT)</t>
  </si>
  <si>
    <t>n=452 and n=1,303</t>
  </si>
  <si>
    <t>Because n &gt; 30 in both groups, the Central Limit Theorem (CLT) guarantees that sample means are approximately normally distributed, regardless of the underlying distribution. This means: T-Tests remain valid. Pearson correlation remains valid. Regression analysis remains valid. For very small subgroups (n &lt; 30), non-parametric alternatives (Mann-Whitney U, Kruskal-Wallis) should be used instead.</t>
  </si>
  <si>
    <t>4</t>
  </si>
  <si>
    <t>CHI-SQUARE — BINARY ASSOCIATIONS (Section A)</t>
  </si>
  <si>
    <t>10 pair combinations tested</t>
  </si>
  <si>
    <t>Only 1 significant pair found</t>
  </si>
  <si>
    <t>Within Old Clients (n=452), all 10 binary variable pairs were tested. Result: Government Sector Worker × Frequent Flyer is the ONLY significant pair (χ²=7.79, p=0.005, Cramér's V=0.131 — small effect). This means govt workers are slightly more likely to be frequent flyers, possibly due to official duty travel. ALL other 9 combinations (Graduate vs Chronic Disease, Frequent Flyer vs Abroad, etc.) are INDEPENDENT — the categorical risk factors do NOT cluster together. This is favourable for modeling — it reduces multicollinearity concerns.</t>
  </si>
  <si>
    <t>5</t>
  </si>
  <si>
    <t>CHI-SQUARE — OLD vs NEW COMPARISON (Section B)</t>
  </si>
  <si>
    <t>5 variables compared between groups</t>
  </si>
  <si>
    <t>2 significant, 3 identical</t>
  </si>
  <si>
    <t>IDENTICAL (3 variables): Govt Worker (30.5% vs 30.1%, p=0.91), Graduate (85.4% vs 85.3%, p=1.00), Chronic Disease (27.0% vs 27.6%, p=0.84). These confirm the two datasets are from the same population. SIGNIFICANTLY DIFFERENT (2 variables): Frequent Flyer: Old 14.6% vs New 20.9% (χ²=8.09, p=0.004). New clients are 43% more likely to be frequent flyers. Ever Travelled Abroad: Old 7.1% vs New 19.3% (χ²=35.94, p&lt;0.001). This is the most critical difference — New clients are 2.7 TIMES more likely to have travelled internationally.</t>
  </si>
  <si>
    <t>6</t>
  </si>
  <si>
    <t>BUSINESS IMPLICATION — KEY FINDING</t>
  </si>
  <si>
    <t>New clients have higher travel profile</t>
  </si>
  <si>
    <t>ActionableInsight</t>
  </si>
  <si>
    <t>The most important finding from the chi-square analysis is that New Clients (n=1,303) have dramatically higher international travel experience (19.3%) compared to Old Clients (7.1%). Since 'Ever Travelled Abroad' was the strongest predictor of insurance purchase (Cramér's V=0.416 in prior analysis), this means the New Client base has inherently HIGHER insurance purchase potential than the old base. Targeting new clients with frequent flyer or international travel profiles first will yield the highest conversion rates.</t>
  </si>
  <si>
    <t>7</t>
  </si>
  <si>
    <t>CRAMÉR'S V — EFFECT SIZE GUIDE</t>
  </si>
  <si>
    <t>How to interpret association strength</t>
  </si>
  <si>
    <t>All results in context</t>
  </si>
  <si>
    <t>Cramér's V measures association strength beyond p-value. Negligible: V &lt; 0.10. Small: V = 0.10–0.20. Medium: V = 0.20–0.30. Strong: V &gt; 0.30. In Section A: Only Govt × Flyer reached 'small' effect (V=0.131). In Section B: Ever Travelled Abroad reached 'small-medium' effect (V=0.143). Frequent Flyer had V=0.068 (negligible-to-small). Graduate, Govt Worker, Chronic Disease all V &lt; 0.01 (negligible). This confirms: International travel behaviour is the strongest differentiator between old and new client pools.</t>
  </si>
  <si>
    <t>8</t>
  </si>
  <si>
    <t>OVERALL STATISTICAL CONCLUSION</t>
  </si>
  <si>
    <t>Combined normality + chi-square findings</t>
  </si>
  <si>
    <t>Final summary</t>
  </si>
  <si>
    <t>NORMALITY: All continuous variables (Age, Income, Family Members) deviate from normality in both datasets. Deviation is mild (W &gt; 0.92). Large sample sizes validate use of parametric tests. Both datasets show identical distributional patterns — confirming population homogeneity. CHI-SQUARE: Binary variables are largely independent of each other within old clients (9/10 pairs non-significant). Two key differences exist between old and new clients: Frequent Flyer (p=0.004) and Ever Travelled Abroad (p&lt;0.001). These two variables should be the PRIMARY targeting criteria when marketing insurance to the 1,303 new clients.</t>
  </si>
  <si>
    <t>FINAL RECOMMENDATION: New clients show significantly higher travel experience (19.3% international travellers vs 7.1% in old clients). Combined with their higher frequent flyer rate (20.9% vs 14.6%), the New Client pool is demonstrably more travel-active. Since international travel is the strongest predictor of insurance purchase, the predicted insurance conversion rate for new clients should EXCEED the old client baseline of 0%. Prioritise new clients with EverTravelledAbroad=1 and FrequentFlyer=1 for immediate outreach.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</si>
</sst>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8"/>
      <name val="Aptos Narrow"/>
      <family val="2"/>
      <scheme val="minor"/>
    </font>
    <font>
      <sz val="11"/>
      <color rgb="FFFF0000"/>
      <name val="Aptos Narrow"/>
      <family val="2"/>
      <scheme val="minor"/>
    </font>
    <font>
      <i/>
      <sz val="11"/>
      <color theme="1"/>
      <name val="Aptos Narrow"/>
      <family val="2"/>
      <scheme val="minor"/>
    </font>
    <font>
      <b/>
      <sz val="18"/>
      <color theme="1"/>
      <name val="Aptos Narrow"/>
      <family val="2"/>
      <scheme val="minor"/>
    </font>
    <font>
      <sz val="16"/>
      <color theme="1"/>
      <name val="Aptos Narrow"/>
      <family val="2"/>
      <scheme val="minor"/>
    </font>
    <font>
      <sz val="18"/>
      <color theme="1"/>
      <name val="Aptos Narrow"/>
      <family val="2"/>
      <scheme val="minor"/>
    </font>
    <font>
      <b/>
      <sz val="14"/>
      <color rgb="FFFFFFFF"/>
      <name val="Calibri"/>
      <family val="2"/>
    </font>
    <font>
      <i/>
      <sz val="9.5"/>
      <color rgb="FF1A3C6E"/>
      <name val="Calibri"/>
      <family val="2"/>
    </font>
    <font>
      <b/>
      <sz val="12"/>
      <color rgb="FFFFFFFF"/>
      <name val="Calibri"/>
      <family val="2"/>
    </font>
    <font>
      <b/>
      <sz val="10"/>
      <color rgb="FFFFFFFF"/>
      <name val="Calibri"/>
      <family val="2"/>
    </font>
    <font>
      <b/>
      <sz val="10"/>
      <color rgb="FF1A1A2E"/>
      <name val="Calibri"/>
      <family val="2"/>
    </font>
    <font>
      <sz val="10"/>
      <color rgb="FF1A1A2E"/>
      <name val="Calibri"/>
      <family val="2"/>
    </font>
    <font>
      <b/>
      <sz val="10"/>
      <color rgb="FF888888"/>
      <name val="Calibri"/>
      <family val="2"/>
    </font>
    <font>
      <b/>
      <sz val="10"/>
      <color rgb="FF3BB273"/>
      <name val="Calibri"/>
      <family val="2"/>
    </font>
    <font>
      <i/>
      <sz val="9.5"/>
      <color rgb="FF7B4F00"/>
      <name val="Calibri"/>
      <family val="2"/>
    </font>
    <font>
      <b/>
      <sz val="9"/>
      <color rgb="FFFFFFFF"/>
      <name val="Calibri"/>
      <family val="2"/>
    </font>
    <font>
      <b/>
      <sz val="10"/>
      <color rgb="FFE84855"/>
      <name val="Calibri"/>
      <family val="2"/>
    </font>
    <font>
      <b/>
      <sz val="11"/>
      <color rgb="FFFFFFFF"/>
      <name val="Calibri"/>
      <family val="2"/>
    </font>
    <font>
      <b/>
      <sz val="10"/>
      <color rgb="FF1A3C6E"/>
      <name val="Calibri"/>
      <family val="2"/>
    </font>
  </fonts>
  <fills count="21">
    <fill>
      <patternFill patternType="none"/>
    </fill>
    <fill>
      <patternFill patternType="gray125"/>
    </fill>
    <fill>
      <patternFill patternType="solid">
        <fgColor theme="7" tint="0.7999816888943144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FFFFB9"/>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1A3C6E"/>
      </patternFill>
    </fill>
    <fill>
      <patternFill patternType="solid">
        <fgColor rgb="FFEAF2FB"/>
      </patternFill>
    </fill>
    <fill>
      <patternFill patternType="solid">
        <fgColor rgb="FF2E86AB"/>
      </patternFill>
    </fill>
    <fill>
      <patternFill patternType="solid">
        <fgColor rgb="FF1A5276"/>
      </patternFill>
    </fill>
    <fill>
      <patternFill patternType="solid">
        <fgColor rgb="FFF2F4F8"/>
      </patternFill>
    </fill>
    <fill>
      <patternFill patternType="solid">
        <fgColor rgb="FFFFFFFF"/>
      </patternFill>
    </fill>
    <fill>
      <patternFill patternType="solid">
        <fgColor rgb="FFE8F8F5"/>
      </patternFill>
    </fill>
    <fill>
      <patternFill patternType="solid">
        <fgColor rgb="FFFFF3CD"/>
      </patternFill>
    </fill>
    <fill>
      <patternFill patternType="solid">
        <fgColor rgb="FF2C3E50"/>
      </patternFill>
    </fill>
    <fill>
      <patternFill patternType="solid">
        <fgColor rgb="FFF8F4E8"/>
      </patternFill>
    </fill>
    <fill>
      <patternFill patternType="solid">
        <fgColor rgb="FFFDECEA"/>
      </patternFill>
    </fill>
  </fills>
  <borders count="6">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thin">
        <color rgb="FFBFBFBF"/>
      </left>
      <right style="thin">
        <color rgb="FFBFBFBF"/>
      </right>
      <top style="thin">
        <color rgb="FFBFBFBF"/>
      </top>
      <bottom style="thin">
        <color rgb="FFBFBFBF"/>
      </bottom>
      <diagonal/>
    </border>
    <border>
      <left style="medium">
        <color rgb="FFF6AE2D"/>
      </left>
      <right style="thin">
        <color rgb="FFF6AE2D"/>
      </right>
      <top style="thin">
        <color rgb="FFF6AE2D"/>
      </top>
      <bottom style="thin">
        <color rgb="FFF6AE2D"/>
      </bottom>
      <diagonal/>
    </border>
  </borders>
  <cellStyleXfs count="1">
    <xf numFmtId="0" fontId="0" fillId="0" borderId="0"/>
  </cellStyleXfs>
  <cellXfs count="64">
    <xf numFmtId="0" fontId="0" fillId="0" borderId="0" xfId="0"/>
    <xf numFmtId="0" fontId="0" fillId="0" borderId="1" xfId="0" applyBorder="1"/>
    <xf numFmtId="0" fontId="3" fillId="0" borderId="2" xfId="0" applyFont="1" applyBorder="1" applyAlignment="1">
      <alignment horizontal="center"/>
    </xf>
    <xf numFmtId="0" fontId="3" fillId="0" borderId="3" xfId="0" applyFont="1" applyBorder="1" applyAlignment="1">
      <alignment horizontal="center"/>
    </xf>
    <xf numFmtId="0" fontId="0" fillId="0" borderId="0" xfId="0" applyAlignment="1">
      <alignment wrapText="1"/>
    </xf>
    <xf numFmtId="0" fontId="0" fillId="2" borderId="0" xfId="0" applyFill="1"/>
    <xf numFmtId="0" fontId="4" fillId="2" borderId="0" xfId="0" applyFont="1" applyFill="1"/>
    <xf numFmtId="0" fontId="0" fillId="3" borderId="0" xfId="0" applyFill="1"/>
    <xf numFmtId="0" fontId="2" fillId="4" borderId="1" xfId="0" applyFont="1" applyFill="1" applyBorder="1"/>
    <xf numFmtId="0" fontId="0" fillId="5" borderId="0" xfId="0" applyFill="1"/>
    <xf numFmtId="0" fontId="5" fillId="6" borderId="0" xfId="0" applyFont="1" applyFill="1"/>
    <xf numFmtId="0" fontId="6" fillId="6" borderId="0" xfId="0" applyFont="1" applyFill="1"/>
    <xf numFmtId="0" fontId="0" fillId="7" borderId="0" xfId="0" applyFill="1"/>
    <xf numFmtId="0" fontId="0" fillId="8" borderId="1" xfId="0" applyFill="1" applyBorder="1"/>
    <xf numFmtId="0" fontId="0" fillId="9" borderId="0" xfId="0" applyFill="1"/>
    <xf numFmtId="0" fontId="0" fillId="8" borderId="0" xfId="0" applyFill="1"/>
    <xf numFmtId="0" fontId="0" fillId="9" borderId="1" xfId="0" applyFill="1" applyBorder="1"/>
    <xf numFmtId="11" fontId="0" fillId="5" borderId="0" xfId="0" applyNumberFormat="1" applyFill="1"/>
    <xf numFmtId="0" fontId="3" fillId="4" borderId="2" xfId="0" applyFont="1" applyFill="1" applyBorder="1" applyAlignment="1">
      <alignment horizontal="center"/>
    </xf>
    <xf numFmtId="0" fontId="3" fillId="0" borderId="2" xfId="0" applyFont="1" applyBorder="1" applyAlignment="1">
      <alignment horizontal="centerContinuous" wrapText="1"/>
    </xf>
    <xf numFmtId="0" fontId="0" fillId="0" borderId="1" xfId="0" applyBorder="1" applyAlignment="1">
      <alignment wrapText="1"/>
    </xf>
    <xf numFmtId="0" fontId="3" fillId="0" borderId="2" xfId="0" applyFont="1" applyBorder="1" applyAlignment="1">
      <alignment horizontal="center" wrapText="1"/>
    </xf>
    <xf numFmtId="0" fontId="3" fillId="9" borderId="2" xfId="0" applyFont="1" applyFill="1" applyBorder="1" applyAlignment="1">
      <alignment horizontal="centerContinuous" wrapText="1"/>
    </xf>
    <xf numFmtId="0" fontId="3" fillId="4" borderId="2" xfId="0" applyFont="1" applyFill="1" applyBorder="1" applyAlignment="1">
      <alignment horizontal="center" wrapText="1"/>
    </xf>
    <xf numFmtId="0" fontId="0" fillId="4" borderId="0" xfId="0" applyFill="1" applyAlignment="1">
      <alignment wrapText="1"/>
    </xf>
    <xf numFmtId="0" fontId="0" fillId="4" borderId="1" xfId="0" applyFill="1" applyBorder="1" applyAlignment="1">
      <alignment wrapText="1"/>
    </xf>
    <xf numFmtId="0" fontId="10" fillId="13" borderId="4" xfId="0" applyFont="1" applyFill="1" applyBorder="1" applyAlignment="1">
      <alignment horizontal="center" vertical="center"/>
    </xf>
    <xf numFmtId="0" fontId="11" fillId="14" borderId="4" xfId="0" applyFont="1" applyFill="1" applyBorder="1" applyAlignment="1">
      <alignment horizontal="left" vertical="center"/>
    </xf>
    <xf numFmtId="0" fontId="12" fillId="15" borderId="4" xfId="0" applyFont="1" applyFill="1" applyBorder="1" applyAlignment="1">
      <alignment horizontal="center" vertical="center"/>
    </xf>
    <xf numFmtId="0" fontId="13" fillId="15" borderId="4" xfId="0" applyFont="1" applyFill="1" applyBorder="1" applyAlignment="1">
      <alignment horizontal="center" vertical="center"/>
    </xf>
    <xf numFmtId="0" fontId="12" fillId="15" borderId="4" xfId="0" applyFont="1" applyFill="1" applyBorder="1" applyAlignment="1">
      <alignment horizontal="left" vertical="center"/>
    </xf>
    <xf numFmtId="0" fontId="12" fillId="14" borderId="4" xfId="0" applyFont="1" applyFill="1" applyBorder="1" applyAlignment="1">
      <alignment horizontal="center" vertical="center"/>
    </xf>
    <xf numFmtId="0" fontId="13" fillId="14" borderId="4" xfId="0" applyFont="1" applyFill="1" applyBorder="1" applyAlignment="1">
      <alignment horizontal="center" vertical="center"/>
    </xf>
    <xf numFmtId="0" fontId="12" fillId="14" borderId="4" xfId="0" applyFont="1" applyFill="1" applyBorder="1" applyAlignment="1">
      <alignment horizontal="left" vertical="center"/>
    </xf>
    <xf numFmtId="0" fontId="12" fillId="16" borderId="4" xfId="0" applyFont="1" applyFill="1" applyBorder="1" applyAlignment="1">
      <alignment horizontal="center" vertical="center"/>
    </xf>
    <xf numFmtId="0" fontId="14" fillId="16" borderId="4" xfId="0" applyFont="1" applyFill="1" applyBorder="1" applyAlignment="1">
      <alignment horizontal="center" vertical="center"/>
    </xf>
    <xf numFmtId="0" fontId="12" fillId="16" borderId="4" xfId="0" applyFont="1" applyFill="1" applyBorder="1" applyAlignment="1">
      <alignment horizontal="left" vertical="center"/>
    </xf>
    <xf numFmtId="0" fontId="16" fillId="10" borderId="4" xfId="0" applyFont="1" applyFill="1" applyBorder="1" applyAlignment="1">
      <alignment horizontal="center" vertical="center"/>
    </xf>
    <xf numFmtId="0" fontId="11" fillId="15" borderId="4" xfId="0" applyFont="1" applyFill="1" applyBorder="1" applyAlignment="1">
      <alignment horizontal="left" vertical="center"/>
    </xf>
    <xf numFmtId="0" fontId="11" fillId="19" borderId="4" xfId="0" applyFont="1" applyFill="1" applyBorder="1" applyAlignment="1">
      <alignment horizontal="left" vertical="center"/>
    </xf>
    <xf numFmtId="0" fontId="12" fillId="19" borderId="4" xfId="0" applyFont="1" applyFill="1" applyBorder="1" applyAlignment="1">
      <alignment horizontal="center" vertical="center"/>
    </xf>
    <xf numFmtId="0" fontId="11" fillId="14" borderId="4" xfId="0" applyFont="1" applyFill="1" applyBorder="1" applyAlignment="1">
      <alignment horizontal="center" vertical="center"/>
    </xf>
    <xf numFmtId="0" fontId="10" fillId="12" borderId="0" xfId="0" applyFont="1" applyFill="1" applyAlignment="1">
      <alignment horizontal="center" vertical="center"/>
    </xf>
    <xf numFmtId="0" fontId="0" fillId="0" borderId="0" xfId="0"/>
    <xf numFmtId="0" fontId="7" fillId="10" borderId="0" xfId="0" applyFont="1" applyFill="1" applyAlignment="1">
      <alignment horizontal="center" vertical="center"/>
    </xf>
    <xf numFmtId="0" fontId="8" fillId="11" borderId="0" xfId="0" applyFont="1" applyFill="1" applyAlignment="1">
      <alignment horizontal="center" vertical="center"/>
    </xf>
    <xf numFmtId="0" fontId="9" fillId="12" borderId="0" xfId="0" applyFont="1" applyFill="1" applyAlignment="1">
      <alignment horizontal="center" vertical="center"/>
    </xf>
    <xf numFmtId="0" fontId="15" fillId="17" borderId="5" xfId="0" applyFont="1" applyFill="1" applyBorder="1" applyAlignment="1">
      <alignment horizontal="left" vertical="center" wrapText="1" indent="1"/>
    </xf>
    <xf numFmtId="0" fontId="9" fillId="18" borderId="0" xfId="0" applyFont="1" applyFill="1" applyAlignment="1">
      <alignment horizontal="center" vertical="center"/>
    </xf>
    <xf numFmtId="0" fontId="12" fillId="20" borderId="4" xfId="0" applyFont="1" applyFill="1" applyBorder="1" applyAlignment="1">
      <alignment horizontal="center" vertical="center"/>
    </xf>
    <xf numFmtId="0" fontId="17" fillId="20" borderId="4" xfId="0" applyFont="1" applyFill="1" applyBorder="1" applyAlignment="1">
      <alignment horizontal="center" vertical="center"/>
    </xf>
    <xf numFmtId="0" fontId="12" fillId="20" borderId="4" xfId="0" applyFont="1" applyFill="1" applyBorder="1" applyAlignment="1">
      <alignment horizontal="left" vertical="center"/>
    </xf>
    <xf numFmtId="0" fontId="10" fillId="18" borderId="4" xfId="0" applyFont="1" applyFill="1" applyBorder="1" applyAlignment="1">
      <alignment horizontal="center" vertical="center"/>
    </xf>
    <xf numFmtId="0" fontId="12" fillId="14" borderId="4" xfId="0" applyFont="1" applyFill="1" applyBorder="1" applyAlignment="1">
      <alignment horizontal="left" vertical="center" wrapText="1"/>
    </xf>
    <xf numFmtId="0" fontId="12" fillId="15" borderId="4" xfId="0" applyFont="1" applyFill="1" applyBorder="1" applyAlignment="1">
      <alignment horizontal="left" vertical="center" wrapText="1"/>
    </xf>
    <xf numFmtId="0" fontId="12" fillId="16" borderId="4" xfId="0" applyFont="1" applyFill="1" applyBorder="1" applyAlignment="1">
      <alignment horizontal="left" vertical="center" wrapText="1"/>
    </xf>
    <xf numFmtId="0" fontId="9" fillId="12" borderId="0" xfId="0" applyFont="1" applyFill="1" applyAlignment="1">
      <alignment horizontal="center" vertical="center" wrapText="1"/>
    </xf>
    <xf numFmtId="0" fontId="0" fillId="0" borderId="0" xfId="0" applyAlignment="1">
      <alignment wrapText="1"/>
    </xf>
    <xf numFmtId="0" fontId="10" fillId="13" borderId="4" xfId="0" applyFont="1" applyFill="1" applyBorder="1" applyAlignment="1">
      <alignment horizontal="center" vertical="center" wrapText="1"/>
    </xf>
    <xf numFmtId="0" fontId="18" fillId="10" borderId="4" xfId="0" applyFont="1" applyFill="1" applyBorder="1" applyAlignment="1">
      <alignment horizontal="center" vertical="center" wrapText="1"/>
    </xf>
    <xf numFmtId="0" fontId="19" fillId="14" borderId="4" xfId="0" applyFont="1" applyFill="1" applyBorder="1" applyAlignment="1">
      <alignment horizontal="left" vertical="center" wrapText="1"/>
    </xf>
    <xf numFmtId="0" fontId="19" fillId="15" borderId="4" xfId="0" applyFont="1" applyFill="1" applyBorder="1" applyAlignment="1">
      <alignment horizontal="left" vertical="center" wrapText="1"/>
    </xf>
    <xf numFmtId="0" fontId="19" fillId="16" borderId="4" xfId="0" applyFont="1" applyFill="1" applyBorder="1" applyAlignment="1">
      <alignment horizontal="left" vertical="center" wrapText="1"/>
    </xf>
    <xf numFmtId="0" fontId="15" fillId="17" borderId="5" xfId="0" applyFont="1" applyFill="1" applyBorder="1" applyAlignment="1">
      <alignment horizontal="left" vertical="center" wrapText="1"/>
    </xf>
  </cellXfs>
  <cellStyles count="1">
    <cellStyle name="Normal" xfId="0" builtinId="0"/>
  </cellStyles>
  <dxfs count="36">
    <dxf>
      <numFmt numFmtId="0" formatCode="Genera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FF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Old vs New Clients: Binary Variable Proportions (%)</a:t>
            </a:r>
          </a:p>
        </c:rich>
      </c:tx>
      <c:overlay val="1"/>
    </c:title>
    <c:autoTitleDeleted val="0"/>
    <c:plotArea>
      <c:layout/>
      <c:barChart>
        <c:barDir val="col"/>
        <c:grouping val="clustered"/>
        <c:varyColors val="1"/>
        <c:ser>
          <c:idx val="0"/>
          <c:order val="0"/>
          <c:tx>
            <c:strRef>
              <c:f>'[1]Chi-Square Tests'!$B$58</c:f>
              <c:strCache>
                <c:ptCount val="1"/>
                <c:pt idx="0">
                  <c:v>Old Clients %</c:v>
                </c:pt>
              </c:strCache>
            </c:strRef>
          </c:tx>
          <c:spPr>
            <a:solidFill>
              <a:srgbClr val="1A3C6E"/>
            </a:solidFill>
            <a:ln>
              <a:prstDash val="solid"/>
            </a:ln>
          </c:spPr>
          <c:invertIfNegative val="1"/>
          <c:cat>
            <c:strRef>
              <c:f>'[1]Chi-Square Tests'!$A$59:$A$63</c:f>
              <c:strCache>
                <c:ptCount val="5"/>
                <c:pt idx="0">
                  <c:v>Government</c:v>
                </c:pt>
                <c:pt idx="1">
                  <c:v>Graduate</c:v>
                </c:pt>
                <c:pt idx="2">
                  <c:v>Chronic Dis</c:v>
                </c:pt>
                <c:pt idx="3">
                  <c:v>Freq Flyer</c:v>
                </c:pt>
                <c:pt idx="4">
                  <c:v>Abroad</c:v>
                </c:pt>
              </c:strCache>
            </c:strRef>
          </c:cat>
          <c:val>
            <c:numRef>
              <c:f>'[1]Chi-Square Tests'!$B$59:$B$63</c:f>
              <c:numCache>
                <c:formatCode>General</c:formatCode>
                <c:ptCount val="5"/>
                <c:pt idx="0">
                  <c:v>30.5</c:v>
                </c:pt>
                <c:pt idx="1">
                  <c:v>85.4</c:v>
                </c:pt>
                <c:pt idx="2">
                  <c:v>27</c:v>
                </c:pt>
                <c:pt idx="3">
                  <c:v>14.6</c:v>
                </c:pt>
                <c:pt idx="4">
                  <c:v>7.1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B72-48E0-A10C-B06816F8FE04}"/>
            </c:ext>
          </c:extLst>
        </c:ser>
        <c:ser>
          <c:idx val="1"/>
          <c:order val="1"/>
          <c:tx>
            <c:strRef>
              <c:f>'[1]Chi-Square Tests'!$C$58</c:f>
              <c:strCache>
                <c:ptCount val="1"/>
                <c:pt idx="0">
                  <c:v>New Clients %</c:v>
                </c:pt>
              </c:strCache>
            </c:strRef>
          </c:tx>
          <c:spPr>
            <a:solidFill>
              <a:srgbClr val="F6AE2D"/>
            </a:solidFill>
            <a:ln>
              <a:prstDash val="solid"/>
            </a:ln>
          </c:spPr>
          <c:invertIfNegative val="1"/>
          <c:cat>
            <c:strRef>
              <c:f>'[1]Chi-Square Tests'!$A$59:$A$63</c:f>
              <c:strCache>
                <c:ptCount val="5"/>
                <c:pt idx="0">
                  <c:v>Government</c:v>
                </c:pt>
                <c:pt idx="1">
                  <c:v>Graduate</c:v>
                </c:pt>
                <c:pt idx="2">
                  <c:v>Chronic Dis</c:v>
                </c:pt>
                <c:pt idx="3">
                  <c:v>Freq Flyer</c:v>
                </c:pt>
                <c:pt idx="4">
                  <c:v>Abroad</c:v>
                </c:pt>
              </c:strCache>
            </c:strRef>
          </c:cat>
          <c:val>
            <c:numRef>
              <c:f>'[1]Chi-Square Tests'!$C$59:$C$63</c:f>
              <c:numCache>
                <c:formatCode>General</c:formatCode>
                <c:ptCount val="5"/>
                <c:pt idx="0">
                  <c:v>30.1</c:v>
                </c:pt>
                <c:pt idx="1">
                  <c:v>85.3</c:v>
                </c:pt>
                <c:pt idx="2">
                  <c:v>27.6</c:v>
                </c:pt>
                <c:pt idx="3">
                  <c:v>20.9</c:v>
                </c:pt>
                <c:pt idx="4">
                  <c:v>19.3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B72-48E0-A10C-B06816F8FE0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Variable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 of Clients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Shapiro-Wilk W Statistics (closer to 1.0 = more normal)</a:t>
            </a:r>
          </a:p>
        </c:rich>
      </c:tx>
      <c:overlay val="1"/>
    </c:title>
    <c:autoTitleDeleted val="0"/>
    <c:plotArea>
      <c:layout/>
      <c:barChart>
        <c:barDir val="col"/>
        <c:grouping val="clustered"/>
        <c:varyColors val="1"/>
        <c:ser>
          <c:idx val="0"/>
          <c:order val="0"/>
          <c:tx>
            <c:strRef>
              <c:f>'[1]Normality Test'!$B$26</c:f>
              <c:strCache>
                <c:ptCount val="1"/>
                <c:pt idx="0">
                  <c:v>Old W</c:v>
                </c:pt>
              </c:strCache>
            </c:strRef>
          </c:tx>
          <c:spPr>
            <a:solidFill>
              <a:srgbClr val="1A3C6E"/>
            </a:solidFill>
            <a:ln>
              <a:prstDash val="solid"/>
            </a:ln>
          </c:spPr>
          <c:invertIfNegative val="1"/>
          <c:cat>
            <c:strRef>
              <c:f>'[1]Normality Test'!$A$27:$A$29</c:f>
              <c:strCache>
                <c:ptCount val="3"/>
                <c:pt idx="0">
                  <c:v>Age</c:v>
                </c:pt>
                <c:pt idx="1">
                  <c:v>AnnualIncome</c:v>
                </c:pt>
                <c:pt idx="2">
                  <c:v>FamilyMembers</c:v>
                </c:pt>
              </c:strCache>
            </c:strRef>
          </c:cat>
          <c:val>
            <c:numRef>
              <c:f>'[1]Normality Test'!$B$27:$B$29</c:f>
              <c:numCache>
                <c:formatCode>General</c:formatCode>
                <c:ptCount val="3"/>
                <c:pt idx="0">
                  <c:v>0.92559999999999998</c:v>
                </c:pt>
                <c:pt idx="1">
                  <c:v>0.95909999999999995</c:v>
                </c:pt>
                <c:pt idx="2">
                  <c:v>0.92230000000000001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177-4332-8BBC-8027C7F59B84}"/>
            </c:ext>
          </c:extLst>
        </c:ser>
        <c:ser>
          <c:idx val="1"/>
          <c:order val="1"/>
          <c:tx>
            <c:strRef>
              <c:f>'[1]Normality Test'!$C$26</c:f>
              <c:strCache>
                <c:ptCount val="1"/>
                <c:pt idx="0">
                  <c:v>New W</c:v>
                </c:pt>
              </c:strCache>
            </c:strRef>
          </c:tx>
          <c:spPr>
            <a:solidFill>
              <a:srgbClr val="2E86AB"/>
            </a:solidFill>
            <a:ln>
              <a:prstDash val="solid"/>
            </a:ln>
          </c:spPr>
          <c:invertIfNegative val="1"/>
          <c:cat>
            <c:strRef>
              <c:f>'[1]Normality Test'!$A$27:$A$29</c:f>
              <c:strCache>
                <c:ptCount val="3"/>
                <c:pt idx="0">
                  <c:v>Age</c:v>
                </c:pt>
                <c:pt idx="1">
                  <c:v>AnnualIncome</c:v>
                </c:pt>
                <c:pt idx="2">
                  <c:v>FamilyMembers</c:v>
                </c:pt>
              </c:strCache>
            </c:strRef>
          </c:cat>
          <c:val>
            <c:numRef>
              <c:f>'[1]Normality Test'!$C$27:$C$29</c:f>
              <c:numCache>
                <c:formatCode>General</c:formatCode>
                <c:ptCount val="3"/>
                <c:pt idx="0">
                  <c:v>0.9254</c:v>
                </c:pt>
                <c:pt idx="1">
                  <c:v>0.96279999999999999</c:v>
                </c:pt>
                <c:pt idx="2">
                  <c:v>0.93969999999999998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177-4332-8BBC-8027C7F59B84}"/>
            </c:ext>
          </c:extLst>
        </c:ser>
        <c:ser>
          <c:idx val="2"/>
          <c:order val="2"/>
          <c:tx>
            <c:strRef>
              <c:f>'[1]Normality Test'!$D$26</c:f>
              <c:strCache>
                <c:ptCount val="1"/>
                <c:pt idx="0">
                  <c:v>Normal threshold</c:v>
                </c:pt>
              </c:strCache>
            </c:strRef>
          </c:tx>
          <c:spPr>
            <a:solidFill>
              <a:srgbClr val="E84855"/>
            </a:solidFill>
            <a:ln>
              <a:prstDash val="solid"/>
            </a:ln>
          </c:spPr>
          <c:invertIfNegative val="1"/>
          <c:cat>
            <c:strRef>
              <c:f>'[1]Normality Test'!$A$27:$A$29</c:f>
              <c:strCache>
                <c:ptCount val="3"/>
                <c:pt idx="0">
                  <c:v>Age</c:v>
                </c:pt>
                <c:pt idx="1">
                  <c:v>AnnualIncome</c:v>
                </c:pt>
                <c:pt idx="2">
                  <c:v>FamilyMembers</c:v>
                </c:pt>
              </c:strCache>
            </c:strRef>
          </c:cat>
          <c:val>
            <c:numRef>
              <c:f>'[1]Normality Test'!$D$27:$D$29</c:f>
              <c:numCache>
                <c:formatCode>General</c:formatCode>
                <c:ptCount val="3"/>
                <c:pt idx="0">
                  <c:v>0.95</c:v>
                </c:pt>
                <c:pt idx="1">
                  <c:v>0.95</c:v>
                </c:pt>
                <c:pt idx="2">
                  <c:v>0.95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2177-4332-8BBC-8027C7F59B8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Variable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in val="0.9"/>
        </c:scaling>
        <c:delete val="1"/>
        <c:axPos val="l"/>
        <c:majorGridlines/>
        <c:title>
          <c:tx>
            <c:rich>
              <a:bodyPr/>
              <a:lstStyle/>
              <a:p>
                <a:pPr>
                  <a:defRPr/>
                </a:pPr>
                <a:r>
                  <a:rPr lang="en-US"/>
                  <a:t>W Statistic</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0</xdr:colOff>
      <xdr:row>63</xdr:row>
      <xdr:rowOff>0</xdr:rowOff>
    </xdr:from>
    <xdr:ext cx="7920000" cy="4680000"/>
    <xdr:graphicFrame macro="">
      <xdr:nvGraphicFramePr>
        <xdr:cNvPr id="2" name="Chart 1">
          <a:extLst>
            <a:ext uri="{FF2B5EF4-FFF2-40B4-BE49-F238E27FC236}">
              <a16:creationId xmlns:a16="http://schemas.microsoft.com/office/drawing/2014/main" id="{AE801095-C084-43C4-BB7A-98F3B462B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29</xdr:row>
      <xdr:rowOff>0</xdr:rowOff>
    </xdr:from>
    <xdr:ext cx="7200000" cy="4320000"/>
    <xdr:graphicFrame macro="">
      <xdr:nvGraphicFramePr>
        <xdr:cNvPr id="2" name="Chart 1">
          <a:extLst>
            <a:ext uri="{FF2B5EF4-FFF2-40B4-BE49-F238E27FC236}">
              <a16:creationId xmlns:a16="http://schemas.microsoft.com/office/drawing/2014/main" id="{AC218A89-1992-4F3B-8E94-11C2D1176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hask\Downloads\Statistical_Analysis_Chi_Normality.xlsx" TargetMode="External"/><Relationship Id="rId1" Type="http://schemas.openxmlformats.org/officeDocument/2006/relationships/externalLinkPath" Target="file:///C:\Users\bhask\Downloads\Statistical_Analysis_Chi_Normal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rmality Test"/>
      <sheetName val="Chi-Square Tests"/>
      <sheetName val="Chi squre( Govt vs graduate)"/>
      <sheetName val="Full Interpretation"/>
    </sheetNames>
    <sheetDataSet>
      <sheetData sheetId="0">
        <row r="26">
          <cell r="B26" t="str">
            <v>Old W</v>
          </cell>
          <cell r="C26" t="str">
            <v>New W</v>
          </cell>
          <cell r="D26" t="str">
            <v>Normal threshold</v>
          </cell>
        </row>
        <row r="27">
          <cell r="A27" t="str">
            <v>Age</v>
          </cell>
          <cell r="B27">
            <v>0.92559999999999998</v>
          </cell>
          <cell r="C27">
            <v>0.9254</v>
          </cell>
          <cell r="D27">
            <v>0.95</v>
          </cell>
        </row>
        <row r="28">
          <cell r="A28" t="str">
            <v>AnnualIncome</v>
          </cell>
          <cell r="B28">
            <v>0.95909999999999995</v>
          </cell>
          <cell r="C28">
            <v>0.96279999999999999</v>
          </cell>
          <cell r="D28">
            <v>0.95</v>
          </cell>
        </row>
        <row r="29">
          <cell r="A29" t="str">
            <v>FamilyMembers</v>
          </cell>
          <cell r="B29">
            <v>0.92230000000000001</v>
          </cell>
          <cell r="C29">
            <v>0.93969999999999998</v>
          </cell>
          <cell r="D29">
            <v>0.95</v>
          </cell>
        </row>
      </sheetData>
      <sheetData sheetId="1">
        <row r="58">
          <cell r="B58" t="str">
            <v>Old Clients %</v>
          </cell>
          <cell r="C58" t="str">
            <v>New Clients %</v>
          </cell>
        </row>
        <row r="59">
          <cell r="A59" t="str">
            <v>Government</v>
          </cell>
          <cell r="B59">
            <v>30.5</v>
          </cell>
          <cell r="C59">
            <v>30.1</v>
          </cell>
        </row>
        <row r="60">
          <cell r="A60" t="str">
            <v>Graduate</v>
          </cell>
          <cell r="B60">
            <v>85.4</v>
          </cell>
          <cell r="C60">
            <v>85.3</v>
          </cell>
        </row>
        <row r="61">
          <cell r="A61" t="str">
            <v>Chronic Dis</v>
          </cell>
          <cell r="B61">
            <v>27</v>
          </cell>
          <cell r="C61">
            <v>27.6</v>
          </cell>
        </row>
        <row r="62">
          <cell r="A62" t="str">
            <v>Freq Flyer</v>
          </cell>
          <cell r="B62">
            <v>14.6</v>
          </cell>
          <cell r="C62">
            <v>20.9</v>
          </cell>
        </row>
        <row r="63">
          <cell r="A63" t="str">
            <v>Abroad</v>
          </cell>
          <cell r="B63">
            <v>7.1</v>
          </cell>
          <cell r="C63">
            <v>19.3</v>
          </cell>
        </row>
      </sheetData>
      <sheetData sheetId="2"/>
      <sheetData sheetId="3"/>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E5424546-E79F-42C8-9CD4-BB528944EA62}" autoFormatId="16" applyNumberFormats="0" applyBorderFormats="0" applyFontFormats="0" applyPatternFormats="0" applyAlignmentFormats="0" applyWidthHeightFormats="0">
  <queryTableRefresh nextId="12" unboundColumnsRight="1">
    <queryTableFields count="11">
      <queryTableField id="1" name="Age" tableColumnId="1"/>
      <queryTableField id="2" name="AnnualIncome" tableColumnId="2"/>
      <queryTableField id="3" name="FamilyMembers" tableColumnId="3"/>
      <queryTableField id="4" name="Government Sector Worker" tableColumnId="4"/>
      <queryTableField id="5" name="GraduateOrNot" tableColumnId="5"/>
      <queryTableField id="6" name="ChronicDiseases" tableColumnId="6"/>
      <queryTableField id="7" name="FrequentFlyer" tableColumnId="7"/>
      <queryTableField id="8" name="EverTravelledAbroad" tableColumnId="8"/>
      <queryTableField id="9" name="Clienttype" tableColumnId="9"/>
      <queryTableField id="10" name="TravelInsurance"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7" xr16:uid="{E0F92640-2347-404B-9C3A-94CC9EEE6B44}" autoFormatId="16" applyNumberFormats="0" applyBorderFormats="0" applyFontFormats="0" applyPatternFormats="0" applyAlignmentFormats="0" applyWidthHeightFormats="0">
  <queryTableRefresh nextId="11">
    <queryTableFields count="10">
      <queryTableField id="1" name="Age" tableColumnId="1"/>
      <queryTableField id="2" name="AnnualIncome" tableColumnId="2"/>
      <queryTableField id="3" name="FamilyMembers" tableColumnId="3"/>
      <queryTableField id="4" name="Government Sector Worker" tableColumnId="4"/>
      <queryTableField id="5" name="GraduateOrNot" tableColumnId="5"/>
      <queryTableField id="6" name="ChronicDiseases" tableColumnId="6"/>
      <queryTableField id="7" name="FrequentFlyer" tableColumnId="7"/>
      <queryTableField id="8" name="EverTravelledAbroad" tableColumnId="8"/>
      <queryTableField id="9" name="TravelInsurance" tableColumnId="9"/>
      <queryTableField id="10" name="Clienttype"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81DD506-186D-489E-A242-E45023CDAA83}" name="Newclients__2" displayName="Newclients__2" ref="A1:K1304" tableType="queryTable" totalsRowShown="0" headerRowDxfId="35" dataDxfId="34">
  <autoFilter ref="A1:K1304" xr:uid="{DBE173E4-A4E9-4044-8E48-F82C11424703}"/>
  <tableColumns count="11">
    <tableColumn id="1" xr3:uid="{7878366B-CA96-4D9E-BC7C-1ECFC4BF8B69}" uniqueName="1" name="Age" queryTableFieldId="1" dataDxfId="33"/>
    <tableColumn id="2" xr3:uid="{C4A4213E-A453-413A-9641-1B9C936F533D}" uniqueName="2" name="AnnualIncome" queryTableFieldId="2" dataDxfId="32"/>
    <tableColumn id="3" xr3:uid="{2A805D04-FF14-4EB6-9A3F-71B3E75ABDF9}" uniqueName="3" name="FamilyMembers" queryTableFieldId="3" dataDxfId="31"/>
    <tableColumn id="4" xr3:uid="{D4981CC7-AA2B-4FF6-A4AF-56C0CB474463}" uniqueName="4" name="Government Sector Worker" queryTableFieldId="4" dataDxfId="30"/>
    <tableColumn id="5" xr3:uid="{E7844813-AD5C-4581-A174-C38C07FAE5D3}" uniqueName="5" name="GraduateOrNot" queryTableFieldId="5" dataDxfId="29"/>
    <tableColumn id="6" xr3:uid="{F889F3EC-80F5-4FF6-ABCB-69F9E4376338}" uniqueName="6" name="ChronicDiseases" queryTableFieldId="6" dataDxfId="28"/>
    <tableColumn id="7" xr3:uid="{8DDFE4E1-67CC-4CFD-BDBF-FDC0F123AFFD}" uniqueName="7" name="FrequentFlyer" queryTableFieldId="7" dataDxfId="27"/>
    <tableColumn id="8" xr3:uid="{A7F71322-0282-4DBB-98B3-BD9D67244BAC}" uniqueName="8" name="EverTravelledAbroad" queryTableFieldId="8" dataDxfId="26"/>
    <tableColumn id="9" xr3:uid="{89031883-4729-4FC3-B7CB-5CA9A098D74A}" uniqueName="9" name="Clienttype" queryTableFieldId="9" dataDxfId="25"/>
    <tableColumn id="10" xr3:uid="{B2860090-6B15-4965-96E3-B15C1396E24F}" uniqueName="10" name="Column1" queryTableFieldId="10" dataDxfId="24"/>
    <tableColumn id="11" xr3:uid="{B5DC4456-6A43-4889-84D9-B163504F0516}" uniqueName="11" name="Column2" queryTableFieldId="11" dataDxfId="23">
      <calculatedColumnFormula>$N$2+Newclients__2[[#This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E321F2-8381-400E-84B2-6ADC0DC07DAD}" name="Table7" displayName="Table7" ref="A1:H15" totalsRowShown="0" headerRowDxfId="22" dataDxfId="20" headerRowBorderDxfId="21" tableBorderDxfId="19">
  <autoFilter ref="A1:H15" xr:uid="{16E321F2-8381-400E-84B2-6ADC0DC07DAD}"/>
  <tableColumns count="8">
    <tableColumn id="1" xr3:uid="{159BEA41-1074-45CE-923D-766CE00C3BBF}" name="Age" dataDxfId="18"/>
    <tableColumn id="2" xr3:uid="{700AFB26-DB7D-4244-9EA6-52397464F11D}" name="Value" dataDxfId="17"/>
    <tableColumn id="8" xr3:uid="{1D29E104-9E2A-472A-8609-85723ABC5828}" name="Column1" dataDxfId="16"/>
    <tableColumn id="3" xr3:uid="{67FE350C-E8CA-4DD9-9A84-9BE4A40D1665}" name="AnnualIncome" dataDxfId="15"/>
    <tableColumn id="4" xr3:uid="{34726476-EBD5-4F6C-9013-494BBF459721}" name="Value2" dataDxfId="14"/>
    <tableColumn id="7" xr3:uid="{D7FBA3D9-91E4-4A2C-B313-B1BE41FF0FB2}" name="Value22" dataDxfId="13"/>
    <tableColumn id="5" xr3:uid="{2ECD0886-E555-474C-9EE6-1CC93808B1A5}" name="FamilyMembers" dataDxfId="12"/>
    <tableColumn id="6" xr3:uid="{9BA9B41C-BF6E-4FA8-BD35-D74CC98215A7}" name="Value3"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969C46-598D-4F3B-85DB-08C53708E451}" name="Table8" displayName="Table8" ref="A18:F32" totalsRowShown="0" headerRowDxfId="10" dataDxfId="8" headerRowBorderDxfId="9" tableBorderDxfId="7">
  <autoFilter ref="A18:F32" xr:uid="{61969C46-598D-4F3B-85DB-08C53708E451}"/>
  <tableColumns count="6">
    <tableColumn id="1" xr3:uid="{C584C572-FBE0-4E79-82D6-DBD1A82CF8F2}" name="Age" dataDxfId="6"/>
    <tableColumn id="2" xr3:uid="{C27E0BAC-9958-4D03-A733-5F2BC4FA7518}" name="Column1" dataDxfId="5"/>
    <tableColumn id="3" xr3:uid="{B27039D8-D1CB-41B4-B126-B0B8B03D81DF}" name="AnnualIncome" dataDxfId="4"/>
    <tableColumn id="4" xr3:uid="{8DA23766-758C-4809-A2E2-6A741F1C7D6B}" name="Column2" dataDxfId="3"/>
    <tableColumn id="5" xr3:uid="{28B5EEA5-A2E0-44A5-9FBC-4D7C19D52CA3}" name="FamilyMembers" dataDxfId="2"/>
    <tableColumn id="6" xr3:uid="{118F3DBA-9DCA-4791-B254-35EA4F30CBDD}" name="Column3"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00E997-DB03-44CB-B7D7-D7C4040421C6}" name="oldclients__2" displayName="oldclients__2" ref="A1:J683" tableType="queryTable" totalsRowShown="0">
  <autoFilter ref="A1:J683" xr:uid="{4100E997-DB03-44CB-B7D7-D7C4040421C6}">
    <filterColumn colId="8">
      <filters>
        <filter val="0"/>
      </filters>
    </filterColumn>
  </autoFilter>
  <tableColumns count="10">
    <tableColumn id="1" xr3:uid="{15843EEF-EB95-4AB0-B3D1-6A98B510D60C}" uniqueName="1" name="Age" queryTableFieldId="1"/>
    <tableColumn id="2" xr3:uid="{E89F4535-636A-42AF-974A-A48246C4E91A}" uniqueName="2" name="AnnualIncome" queryTableFieldId="2"/>
    <tableColumn id="3" xr3:uid="{907D240E-C985-41A1-9378-FEC03EDACEB8}" uniqueName="3" name="FamilyMembers" queryTableFieldId="3"/>
    <tableColumn id="4" xr3:uid="{BD417F81-66B5-4A8E-970F-71EA287E7BE9}" uniqueName="4" name="Government Sector Worker" queryTableFieldId="4"/>
    <tableColumn id="5" xr3:uid="{0785A43D-9F88-4F1E-B423-C6917C1D88C4}" uniqueName="5" name="GraduateOrNot" queryTableFieldId="5"/>
    <tableColumn id="6" xr3:uid="{5B072B41-501F-43C9-A966-9E488C63933F}" uniqueName="6" name="ChronicDiseases" queryTableFieldId="6"/>
    <tableColumn id="7" xr3:uid="{3D13F885-175F-40C0-9515-778A4F725840}" uniqueName="7" name="FrequentFlyer" queryTableFieldId="7"/>
    <tableColumn id="8" xr3:uid="{234CE5FA-0981-4912-8B0F-E7E76AA3AC4E}" uniqueName="8" name="EverTravelledAbroad" queryTableFieldId="8"/>
    <tableColumn id="9" xr3:uid="{362C83AD-88F9-4077-B5EB-9D071FB9EE9E}" uniqueName="9" name="TravelInsurance" queryTableFieldId="9"/>
    <tableColumn id="10" xr3:uid="{157FB254-8C4C-4C07-B47A-612DD273A127}" uniqueName="10" name="Clienttype"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287F4-FCB7-483C-8366-D6BA30FF1CD3}">
  <dimension ref="A1:N1304"/>
  <sheetViews>
    <sheetView topLeftCell="A1273" workbookViewId="0">
      <selection sqref="A1:I1304"/>
    </sheetView>
  </sheetViews>
  <sheetFormatPr defaultRowHeight="14.4" x14ac:dyDescent="0.3"/>
  <cols>
    <col min="1" max="1" width="6.21875" style="4" bestFit="1" customWidth="1"/>
    <col min="2" max="2" width="15.109375" style="4" bestFit="1" customWidth="1"/>
    <col min="3" max="3" width="16.77734375" style="4" bestFit="1" customWidth="1"/>
    <col min="4" max="4" width="25.88671875" style="4" bestFit="1" customWidth="1"/>
    <col min="5" max="5" width="16.109375" style="4" bestFit="1" customWidth="1"/>
    <col min="6" max="6" width="17.21875" style="4" bestFit="1" customWidth="1"/>
    <col min="7" max="7" width="14.77734375" style="4" bestFit="1" customWidth="1"/>
    <col min="8" max="8" width="20.6640625" style="4" bestFit="1" customWidth="1"/>
    <col min="9" max="9" width="11.88671875" style="4" bestFit="1" customWidth="1"/>
    <col min="10" max="10" width="16.44140625" style="4" bestFit="1" customWidth="1"/>
    <col min="11" max="11" width="25.44140625" style="4" customWidth="1"/>
    <col min="12" max="12" width="8.88671875" style="4"/>
    <col min="13" max="13" width="16.109375" style="4" customWidth="1"/>
    <col min="14" max="14" width="10.5546875" style="4" customWidth="1"/>
    <col min="15" max="16384" width="8.88671875" style="4"/>
  </cols>
  <sheetData>
    <row r="1" spans="1:14" x14ac:dyDescent="0.3">
      <c r="A1" s="4" t="s">
        <v>2</v>
      </c>
      <c r="B1" s="4" t="s">
        <v>5</v>
      </c>
      <c r="C1" s="4" t="s">
        <v>6</v>
      </c>
      <c r="D1" s="4" t="s">
        <v>3</v>
      </c>
      <c r="E1" s="4" t="s">
        <v>4</v>
      </c>
      <c r="F1" s="4" t="s">
        <v>7</v>
      </c>
      <c r="G1" s="4" t="s">
        <v>8</v>
      </c>
      <c r="H1" s="4" t="s">
        <v>9</v>
      </c>
      <c r="I1" s="4" t="s">
        <v>11</v>
      </c>
      <c r="J1" s="4" t="s">
        <v>25</v>
      </c>
      <c r="K1" s="4" t="s">
        <v>26</v>
      </c>
    </row>
    <row r="2" spans="1:14" x14ac:dyDescent="0.3">
      <c r="A2" s="4">
        <v>25</v>
      </c>
      <c r="B2" s="4">
        <v>1150000</v>
      </c>
      <c r="C2" s="4">
        <v>4</v>
      </c>
      <c r="D2" s="4">
        <v>0</v>
      </c>
      <c r="E2" s="4">
        <v>0</v>
      </c>
      <c r="F2" s="4">
        <v>0</v>
      </c>
      <c r="G2" s="4">
        <v>0</v>
      </c>
      <c r="H2" s="4">
        <v>0</v>
      </c>
      <c r="I2" s="4" t="s">
        <v>1</v>
      </c>
      <c r="K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0.30642316635497857</v>
      </c>
      <c r="M2" s="4" t="s">
        <v>57</v>
      </c>
      <c r="N2" s="24">
        <v>-0.45533310368285063</v>
      </c>
    </row>
    <row r="3" spans="1:14" x14ac:dyDescent="0.3">
      <c r="A3" s="4">
        <v>34</v>
      </c>
      <c r="B3" s="4">
        <v>1500000</v>
      </c>
      <c r="C3" s="4">
        <v>4</v>
      </c>
      <c r="D3" s="4">
        <v>0</v>
      </c>
      <c r="E3" s="4">
        <v>1</v>
      </c>
      <c r="F3" s="4">
        <v>1</v>
      </c>
      <c r="G3" s="4">
        <v>1</v>
      </c>
      <c r="H3" s="4">
        <v>1</v>
      </c>
      <c r="I3" s="4" t="s">
        <v>1</v>
      </c>
      <c r="K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0.9117859830204994</v>
      </c>
      <c r="M3" s="4" t="s">
        <v>2</v>
      </c>
      <c r="N3" s="24">
        <v>1.3626236430466133E-2</v>
      </c>
    </row>
    <row r="4" spans="1:14" x14ac:dyDescent="0.3">
      <c r="A4" s="4">
        <v>33</v>
      </c>
      <c r="B4" s="4">
        <v>1500000</v>
      </c>
      <c r="C4" s="4">
        <v>3</v>
      </c>
      <c r="D4" s="4">
        <v>0</v>
      </c>
      <c r="E4" s="4">
        <v>1</v>
      </c>
      <c r="F4" s="4">
        <v>0</v>
      </c>
      <c r="G4" s="4">
        <v>1</v>
      </c>
      <c r="H4" s="4">
        <v>1</v>
      </c>
      <c r="I4" s="4" t="s">
        <v>1</v>
      </c>
      <c r="K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0.86604705155532358</v>
      </c>
      <c r="M4" s="4" t="s">
        <v>5</v>
      </c>
      <c r="N4" s="24">
        <v>3.0611964333549103E-7</v>
      </c>
    </row>
    <row r="5" spans="1:14" x14ac:dyDescent="0.3">
      <c r="A5" s="4">
        <v>28</v>
      </c>
      <c r="B5" s="4">
        <v>1150000</v>
      </c>
      <c r="C5" s="4">
        <v>3</v>
      </c>
      <c r="D5" s="4">
        <v>0</v>
      </c>
      <c r="E5" s="4">
        <v>1</v>
      </c>
      <c r="F5" s="4">
        <v>0</v>
      </c>
      <c r="G5" s="4">
        <v>0</v>
      </c>
      <c r="H5" s="4">
        <v>0</v>
      </c>
      <c r="I5" s="4" t="s">
        <v>1</v>
      </c>
      <c r="K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0.2491953237976316</v>
      </c>
      <c r="M5" s="4" t="s">
        <v>6</v>
      </c>
      <c r="N5" s="24">
        <v>1.7265692360090297E-2</v>
      </c>
    </row>
    <row r="6" spans="1:14" ht="28.8" x14ac:dyDescent="0.3">
      <c r="A6" s="4">
        <v>33</v>
      </c>
      <c r="B6" s="4">
        <v>400000</v>
      </c>
      <c r="C6" s="4">
        <v>5</v>
      </c>
      <c r="D6" s="4">
        <v>1</v>
      </c>
      <c r="E6" s="4">
        <v>1</v>
      </c>
      <c r="F6" s="4">
        <v>1</v>
      </c>
      <c r="G6" s="4">
        <v>0</v>
      </c>
      <c r="H6" s="4">
        <v>0</v>
      </c>
      <c r="I6" s="4" t="s">
        <v>1</v>
      </c>
      <c r="K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0.11629514313489264</v>
      </c>
      <c r="M6" s="4" t="s">
        <v>3</v>
      </c>
      <c r="N6" s="24">
        <v>-2.0820017708251422E-2</v>
      </c>
    </row>
    <row r="7" spans="1:14" x14ac:dyDescent="0.3">
      <c r="A7" s="4">
        <v>27</v>
      </c>
      <c r="B7" s="4">
        <v>500000</v>
      </c>
      <c r="C7" s="4">
        <v>7</v>
      </c>
      <c r="D7" s="4">
        <v>1</v>
      </c>
      <c r="E7" s="4">
        <v>1</v>
      </c>
      <c r="F7" s="4">
        <v>0</v>
      </c>
      <c r="G7" s="4">
        <v>0</v>
      </c>
      <c r="H7" s="4">
        <v>0</v>
      </c>
      <c r="I7" s="4" t="s">
        <v>1</v>
      </c>
      <c r="K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8.483407093120611E-2</v>
      </c>
      <c r="M7" s="4" t="s">
        <v>4</v>
      </c>
      <c r="N7" s="24">
        <v>-8.0840859488655034E-2</v>
      </c>
    </row>
    <row r="8" spans="1:14" x14ac:dyDescent="0.3">
      <c r="A8" s="4">
        <v>33</v>
      </c>
      <c r="B8" s="4">
        <v>1400000</v>
      </c>
      <c r="C8" s="4">
        <v>8</v>
      </c>
      <c r="D8" s="4">
        <v>0</v>
      </c>
      <c r="E8" s="4">
        <v>1</v>
      </c>
      <c r="F8" s="4">
        <v>0</v>
      </c>
      <c r="G8" s="4">
        <v>0</v>
      </c>
      <c r="H8" s="4">
        <v>1</v>
      </c>
      <c r="I8" s="4" t="s">
        <v>1</v>
      </c>
      <c r="K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0.83057662981249636</v>
      </c>
      <c r="M8" s="4" t="s">
        <v>7</v>
      </c>
      <c r="N8" s="24">
        <v>1.484700267461945E-2</v>
      </c>
    </row>
    <row r="9" spans="1:14" x14ac:dyDescent="0.3">
      <c r="A9" s="4">
        <v>31</v>
      </c>
      <c r="B9" s="4">
        <v>950000</v>
      </c>
      <c r="C9" s="4">
        <v>3</v>
      </c>
      <c r="D9" s="4">
        <v>0</v>
      </c>
      <c r="E9" s="4">
        <v>1</v>
      </c>
      <c r="F9" s="4">
        <v>0</v>
      </c>
      <c r="G9" s="4">
        <v>1</v>
      </c>
      <c r="H9" s="4">
        <v>0</v>
      </c>
      <c r="I9" s="4" t="s">
        <v>1</v>
      </c>
      <c r="K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0.32003702363166142</v>
      </c>
      <c r="M9" s="4" t="s">
        <v>8</v>
      </c>
      <c r="N9" s="24">
        <v>9.1186919209729586E-2</v>
      </c>
    </row>
    <row r="10" spans="1:14" ht="29.4" thickBot="1" x14ac:dyDescent="0.35">
      <c r="A10" s="4">
        <v>31</v>
      </c>
      <c r="B10" s="4">
        <v>300000</v>
      </c>
      <c r="C10" s="4">
        <v>6</v>
      </c>
      <c r="D10" s="4">
        <v>1</v>
      </c>
      <c r="E10" s="4">
        <v>0</v>
      </c>
      <c r="F10" s="4">
        <v>0</v>
      </c>
      <c r="G10" s="4">
        <v>0</v>
      </c>
      <c r="H10" s="4">
        <v>0</v>
      </c>
      <c r="I10" s="4" t="s">
        <v>1</v>
      </c>
      <c r="K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0.14169025511453717</v>
      </c>
      <c r="M10" s="20" t="s">
        <v>9</v>
      </c>
      <c r="N10" s="25">
        <v>0.35039175122820987</v>
      </c>
    </row>
    <row r="11" spans="1:14" x14ac:dyDescent="0.3">
      <c r="A11" s="4">
        <v>27</v>
      </c>
      <c r="B11" s="4">
        <v>800000</v>
      </c>
      <c r="C11" s="4">
        <v>5</v>
      </c>
      <c r="D11" s="4">
        <v>0</v>
      </c>
      <c r="E11" s="4">
        <v>0</v>
      </c>
      <c r="F11" s="4">
        <v>1</v>
      </c>
      <c r="G11" s="4">
        <v>0</v>
      </c>
      <c r="H11" s="4">
        <v>0</v>
      </c>
      <c r="I11" s="4" t="s">
        <v>1</v>
      </c>
      <c r="K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0.25864645908319872</v>
      </c>
      <c r="M11" s="24"/>
    </row>
    <row r="12" spans="1:14" x14ac:dyDescent="0.3">
      <c r="A12" s="4">
        <v>34</v>
      </c>
      <c r="B12" s="4">
        <v>1100000</v>
      </c>
      <c r="C12" s="4">
        <v>6</v>
      </c>
      <c r="D12" s="4">
        <v>1</v>
      </c>
      <c r="E12" s="4">
        <v>1</v>
      </c>
      <c r="F12" s="4">
        <v>1</v>
      </c>
      <c r="G12" s="4">
        <v>0</v>
      </c>
      <c r="H12" s="4">
        <v>0</v>
      </c>
      <c r="I12" s="4" t="s">
        <v>1</v>
      </c>
      <c r="K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0.36147082226029281</v>
      </c>
      <c r="M12" s="24"/>
    </row>
    <row r="13" spans="1:14" x14ac:dyDescent="0.3">
      <c r="A13" s="4">
        <v>28</v>
      </c>
      <c r="B13" s="4">
        <v>1150000</v>
      </c>
      <c r="C13" s="4">
        <v>7</v>
      </c>
      <c r="D13" s="4">
        <v>0</v>
      </c>
      <c r="E13" s="4">
        <v>1</v>
      </c>
      <c r="F13" s="4">
        <v>0</v>
      </c>
      <c r="G13" s="4">
        <v>0</v>
      </c>
      <c r="H13" s="4">
        <v>0</v>
      </c>
      <c r="I13" s="4" t="s">
        <v>1</v>
      </c>
      <c r="K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0.31825809323799281</v>
      </c>
      <c r="M13" s="24"/>
    </row>
    <row r="14" spans="1:14" x14ac:dyDescent="0.3">
      <c r="A14" s="4">
        <v>32</v>
      </c>
      <c r="B14" s="4">
        <v>350000</v>
      </c>
      <c r="C14" s="4">
        <v>2</v>
      </c>
      <c r="D14" s="4">
        <v>1</v>
      </c>
      <c r="E14" s="4">
        <v>1</v>
      </c>
      <c r="F14" s="4">
        <v>0</v>
      </c>
      <c r="G14" s="4">
        <v>0</v>
      </c>
      <c r="H14" s="4">
        <v>0</v>
      </c>
      <c r="I14" s="4" t="s">
        <v>1</v>
      </c>
      <c r="K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2.0718844782761633E-2</v>
      </c>
      <c r="M14" s="24"/>
    </row>
    <row r="15" spans="1:14" x14ac:dyDescent="0.3">
      <c r="A15" s="4">
        <v>25</v>
      </c>
      <c r="B15" s="4">
        <v>1400000</v>
      </c>
      <c r="C15" s="4">
        <v>3</v>
      </c>
      <c r="D15" s="4">
        <v>0</v>
      </c>
      <c r="E15" s="4">
        <v>1</v>
      </c>
      <c r="F15" s="4">
        <v>1</v>
      </c>
      <c r="G15" s="4">
        <v>0</v>
      </c>
      <c r="H15" s="4">
        <v>1</v>
      </c>
      <c r="I15" s="4" t="s">
        <v>1</v>
      </c>
      <c r="K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0.65008527924293524</v>
      </c>
      <c r="M15" s="24"/>
    </row>
    <row r="16" spans="1:14" ht="15" thickBot="1" x14ac:dyDescent="0.35">
      <c r="A16" s="4">
        <v>33</v>
      </c>
      <c r="B16" s="4">
        <v>1200000</v>
      </c>
      <c r="C16" s="4">
        <v>7</v>
      </c>
      <c r="D16" s="4">
        <v>0</v>
      </c>
      <c r="E16" s="4">
        <v>1</v>
      </c>
      <c r="F16" s="4">
        <v>0</v>
      </c>
      <c r="G16" s="4">
        <v>0</v>
      </c>
      <c r="H16" s="4">
        <v>0</v>
      </c>
      <c r="I16" s="4" t="s">
        <v>1</v>
      </c>
      <c r="K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0.40169525755709801</v>
      </c>
      <c r="M16" s="25"/>
    </row>
    <row r="17" spans="1:11" x14ac:dyDescent="0.3">
      <c r="A17" s="4">
        <v>32</v>
      </c>
      <c r="B17" s="4">
        <v>800000</v>
      </c>
      <c r="C17" s="4">
        <v>3</v>
      </c>
      <c r="D17" s="4">
        <v>1</v>
      </c>
      <c r="E17" s="4">
        <v>1</v>
      </c>
      <c r="F17" s="4">
        <v>1</v>
      </c>
      <c r="G17" s="4">
        <v>1</v>
      </c>
      <c r="H17" s="4">
        <v>0</v>
      </c>
      <c r="I17" s="4" t="s">
        <v>1</v>
      </c>
      <c r="K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0.28177229852817187</v>
      </c>
    </row>
    <row r="18" spans="1:11" x14ac:dyDescent="0.3">
      <c r="A18" s="4">
        <v>28</v>
      </c>
      <c r="B18" s="4">
        <v>1450000</v>
      </c>
      <c r="C18" s="4">
        <v>4</v>
      </c>
      <c r="D18" s="4">
        <v>0</v>
      </c>
      <c r="E18" s="4">
        <v>1</v>
      </c>
      <c r="F18" s="4">
        <v>0</v>
      </c>
      <c r="G18" s="4">
        <v>1</v>
      </c>
      <c r="H18" s="4">
        <v>1</v>
      </c>
      <c r="I18" s="4" t="s">
        <v>1</v>
      </c>
      <c r="K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0.79987557959630862</v>
      </c>
    </row>
    <row r="19" spans="1:11" x14ac:dyDescent="0.3">
      <c r="A19" s="4">
        <v>29</v>
      </c>
      <c r="B19" s="4">
        <v>1350000</v>
      </c>
      <c r="C19" s="4">
        <v>7</v>
      </c>
      <c r="D19" s="4">
        <v>0</v>
      </c>
      <c r="E19" s="4">
        <v>1</v>
      </c>
      <c r="F19" s="4">
        <v>1</v>
      </c>
      <c r="G19" s="4">
        <v>0</v>
      </c>
      <c r="H19" s="4">
        <v>1</v>
      </c>
      <c r="I19" s="4" t="s">
        <v>1</v>
      </c>
      <c r="K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0.75834701223838641</v>
      </c>
    </row>
    <row r="20" spans="1:11" x14ac:dyDescent="0.3">
      <c r="A20" s="4">
        <v>28</v>
      </c>
      <c r="B20" s="4">
        <v>500000</v>
      </c>
      <c r="C20" s="4">
        <v>8</v>
      </c>
      <c r="D20" s="4">
        <v>0</v>
      </c>
      <c r="E20" s="4">
        <v>1</v>
      </c>
      <c r="F20" s="4">
        <v>0</v>
      </c>
      <c r="G20" s="4">
        <v>0</v>
      </c>
      <c r="H20" s="4">
        <v>0</v>
      </c>
      <c r="I20" s="4" t="s">
        <v>1</v>
      </c>
      <c r="K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0.13654601743001393</v>
      </c>
    </row>
    <row r="21" spans="1:11" x14ac:dyDescent="0.3">
      <c r="A21" s="4">
        <v>27</v>
      </c>
      <c r="B21" s="4">
        <v>500000</v>
      </c>
      <c r="C21" s="4">
        <v>6</v>
      </c>
      <c r="D21" s="4">
        <v>1</v>
      </c>
      <c r="E21" s="4">
        <v>1</v>
      </c>
      <c r="F21" s="4">
        <v>0</v>
      </c>
      <c r="G21" s="4">
        <v>0</v>
      </c>
      <c r="H21" s="4">
        <v>0</v>
      </c>
      <c r="I21" s="4" t="s">
        <v>1</v>
      </c>
      <c r="K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6.756837857111582E-2</v>
      </c>
    </row>
    <row r="22" spans="1:11" x14ac:dyDescent="0.3">
      <c r="A22" s="4">
        <v>33</v>
      </c>
      <c r="B22" s="4">
        <v>700000</v>
      </c>
      <c r="C22" s="4">
        <v>8</v>
      </c>
      <c r="D22" s="4">
        <v>1</v>
      </c>
      <c r="E22" s="4">
        <v>1</v>
      </c>
      <c r="F22" s="4">
        <v>0</v>
      </c>
      <c r="G22" s="4">
        <v>0</v>
      </c>
      <c r="H22" s="4">
        <v>0</v>
      </c>
      <c r="I22" s="4" t="s">
        <v>1</v>
      </c>
      <c r="K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0.24508111054119136</v>
      </c>
    </row>
    <row r="23" spans="1:11" x14ac:dyDescent="0.3">
      <c r="A23" s="4">
        <v>27</v>
      </c>
      <c r="B23" s="4">
        <v>850000</v>
      </c>
      <c r="C23" s="4">
        <v>5</v>
      </c>
      <c r="D23" s="4">
        <v>1</v>
      </c>
      <c r="E23" s="4">
        <v>1</v>
      </c>
      <c r="F23" s="4">
        <v>1</v>
      </c>
      <c r="G23" s="4">
        <v>0</v>
      </c>
      <c r="H23" s="4">
        <v>0</v>
      </c>
      <c r="I23" s="4" t="s">
        <v>1</v>
      </c>
      <c r="K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0.17229156405306681</v>
      </c>
    </row>
    <row r="24" spans="1:11" x14ac:dyDescent="0.3">
      <c r="A24" s="4">
        <v>34</v>
      </c>
      <c r="B24" s="4">
        <v>700000</v>
      </c>
      <c r="C24" s="4">
        <v>4</v>
      </c>
      <c r="D24" s="4">
        <v>0</v>
      </c>
      <c r="E24" s="4">
        <v>1</v>
      </c>
      <c r="F24" s="4">
        <v>0</v>
      </c>
      <c r="G24" s="4">
        <v>0</v>
      </c>
      <c r="H24" s="4">
        <v>0</v>
      </c>
      <c r="I24" s="4" t="s">
        <v>1</v>
      </c>
      <c r="K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0.21046459523954775</v>
      </c>
    </row>
    <row r="25" spans="1:11" x14ac:dyDescent="0.3">
      <c r="A25" s="4">
        <v>28</v>
      </c>
      <c r="B25" s="4">
        <v>550000</v>
      </c>
      <c r="C25" s="4">
        <v>4</v>
      </c>
      <c r="D25" s="4">
        <v>0</v>
      </c>
      <c r="E25" s="4">
        <v>1</v>
      </c>
      <c r="F25" s="4">
        <v>1</v>
      </c>
      <c r="G25" s="4">
        <v>0</v>
      </c>
      <c r="H25" s="4">
        <v>0</v>
      </c>
      <c r="I25" s="4" t="s">
        <v>1</v>
      </c>
      <c r="K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9.7636232831046776E-2</v>
      </c>
    </row>
    <row r="26" spans="1:11" x14ac:dyDescent="0.3">
      <c r="A26" s="4">
        <v>34</v>
      </c>
      <c r="B26" s="4">
        <v>1000000</v>
      </c>
      <c r="C26" s="4">
        <v>3</v>
      </c>
      <c r="D26" s="4">
        <v>0</v>
      </c>
      <c r="E26" s="4">
        <v>1</v>
      </c>
      <c r="F26" s="4">
        <v>0</v>
      </c>
      <c r="G26" s="4">
        <v>0</v>
      </c>
      <c r="H26" s="4">
        <v>0</v>
      </c>
      <c r="I26" s="4" t="s">
        <v>1</v>
      </c>
      <c r="K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0.28503479588010472</v>
      </c>
    </row>
    <row r="27" spans="1:11" x14ac:dyDescent="0.3">
      <c r="A27" s="4">
        <v>33</v>
      </c>
      <c r="B27" s="4">
        <v>1500000</v>
      </c>
      <c r="C27" s="4">
        <v>3</v>
      </c>
      <c r="D27" s="4">
        <v>0</v>
      </c>
      <c r="E27" s="4">
        <v>1</v>
      </c>
      <c r="F27" s="4">
        <v>0</v>
      </c>
      <c r="G27" s="4">
        <v>1</v>
      </c>
      <c r="H27" s="4">
        <v>1</v>
      </c>
      <c r="I27" s="4" t="s">
        <v>1</v>
      </c>
      <c r="K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0.86604705155532358</v>
      </c>
    </row>
    <row r="28" spans="1:11" x14ac:dyDescent="0.3">
      <c r="A28" s="4">
        <v>26</v>
      </c>
      <c r="B28" s="4">
        <v>1450000</v>
      </c>
      <c r="C28" s="4">
        <v>3</v>
      </c>
      <c r="D28" s="4">
        <v>1</v>
      </c>
      <c r="E28" s="4">
        <v>1</v>
      </c>
      <c r="F28" s="4">
        <v>1</v>
      </c>
      <c r="G28" s="4">
        <v>1</v>
      </c>
      <c r="H28" s="4">
        <v>1</v>
      </c>
      <c r="I28" s="4" t="s">
        <v>1</v>
      </c>
      <c r="K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0.74938439934165424</v>
      </c>
    </row>
    <row r="29" spans="1:11" x14ac:dyDescent="0.3">
      <c r="A29" s="4">
        <v>34</v>
      </c>
      <c r="B29" s="4">
        <v>1000000</v>
      </c>
      <c r="C29" s="4">
        <v>8</v>
      </c>
      <c r="D29" s="4">
        <v>0</v>
      </c>
      <c r="E29" s="4">
        <v>1</v>
      </c>
      <c r="F29" s="4">
        <v>0</v>
      </c>
      <c r="G29" s="4">
        <v>0</v>
      </c>
      <c r="H29" s="4">
        <v>0</v>
      </c>
      <c r="I29" s="4" t="s">
        <v>1</v>
      </c>
      <c r="K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0.37136325768055622</v>
      </c>
    </row>
    <row r="30" spans="1:11" x14ac:dyDescent="0.3">
      <c r="A30" s="4">
        <v>28</v>
      </c>
      <c r="B30" s="4">
        <v>1450000</v>
      </c>
      <c r="C30" s="4">
        <v>9</v>
      </c>
      <c r="D30" s="4">
        <v>0</v>
      </c>
      <c r="E30" s="4">
        <v>1</v>
      </c>
      <c r="F30" s="4">
        <v>0</v>
      </c>
      <c r="G30" s="4">
        <v>1</v>
      </c>
      <c r="H30" s="4">
        <v>1</v>
      </c>
      <c r="I30" s="4" t="s">
        <v>1</v>
      </c>
      <c r="K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0.88620404139676012</v>
      </c>
    </row>
    <row r="31" spans="1:11" x14ac:dyDescent="0.3">
      <c r="A31" s="4">
        <v>28</v>
      </c>
      <c r="B31" s="4">
        <v>1100000</v>
      </c>
      <c r="C31" s="4">
        <v>2</v>
      </c>
      <c r="D31" s="4">
        <v>0</v>
      </c>
      <c r="E31" s="4">
        <v>1</v>
      </c>
      <c r="F31" s="4">
        <v>1</v>
      </c>
      <c r="G31" s="4">
        <v>0</v>
      </c>
      <c r="H31" s="4">
        <v>0</v>
      </c>
      <c r="I31" s="4" t="s">
        <v>1</v>
      </c>
      <c r="K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0.23147065194538621</v>
      </c>
    </row>
    <row r="32" spans="1:11" x14ac:dyDescent="0.3">
      <c r="A32" s="4">
        <v>28</v>
      </c>
      <c r="B32" s="4">
        <v>300000</v>
      </c>
      <c r="C32" s="4">
        <v>4</v>
      </c>
      <c r="D32" s="4">
        <v>1</v>
      </c>
      <c r="E32" s="4">
        <v>1</v>
      </c>
      <c r="F32" s="4">
        <v>0</v>
      </c>
      <c r="G32" s="4">
        <v>0</v>
      </c>
      <c r="H32" s="4">
        <v>0</v>
      </c>
      <c r="I32" s="4" t="s">
        <v>1</v>
      </c>
      <c r="K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-1.4560698385696874E-2</v>
      </c>
    </row>
    <row r="33" spans="1:11" x14ac:dyDescent="0.3">
      <c r="A33" s="4">
        <v>28</v>
      </c>
      <c r="B33" s="4">
        <v>1200000</v>
      </c>
      <c r="C33" s="4">
        <v>5</v>
      </c>
      <c r="D33" s="4">
        <v>0</v>
      </c>
      <c r="E33" s="4">
        <v>1</v>
      </c>
      <c r="F33" s="4">
        <v>0</v>
      </c>
      <c r="G33" s="4">
        <v>0</v>
      </c>
      <c r="H33" s="4">
        <v>0</v>
      </c>
      <c r="I33" s="4" t="s">
        <v>1</v>
      </c>
      <c r="K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0.29903269068458671</v>
      </c>
    </row>
    <row r="34" spans="1:11" x14ac:dyDescent="0.3">
      <c r="A34" s="4">
        <v>29</v>
      </c>
      <c r="B34" s="4">
        <v>1100000</v>
      </c>
      <c r="C34" s="4">
        <v>7</v>
      </c>
      <c r="D34" s="4">
        <v>0</v>
      </c>
      <c r="E34" s="4">
        <v>1</v>
      </c>
      <c r="F34" s="4">
        <v>0</v>
      </c>
      <c r="G34" s="4">
        <v>0</v>
      </c>
      <c r="H34" s="4">
        <v>0</v>
      </c>
      <c r="I34" s="4" t="s">
        <v>1</v>
      </c>
      <c r="K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0.3165783475016844</v>
      </c>
    </row>
    <row r="35" spans="1:11" x14ac:dyDescent="0.3">
      <c r="A35" s="4">
        <v>28</v>
      </c>
      <c r="B35" s="4">
        <v>800000</v>
      </c>
      <c r="C35" s="4">
        <v>4</v>
      </c>
      <c r="D35" s="4">
        <v>0</v>
      </c>
      <c r="E35" s="4">
        <v>1</v>
      </c>
      <c r="F35" s="4">
        <v>0</v>
      </c>
      <c r="G35" s="4">
        <v>0</v>
      </c>
      <c r="H35" s="4">
        <v>0</v>
      </c>
      <c r="I35" s="4" t="s">
        <v>1</v>
      </c>
      <c r="K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0.15931914099030009</v>
      </c>
    </row>
    <row r="36" spans="1:11" x14ac:dyDescent="0.3">
      <c r="A36" s="4">
        <v>27</v>
      </c>
      <c r="B36" s="4">
        <v>900000</v>
      </c>
      <c r="C36" s="4">
        <v>4</v>
      </c>
      <c r="D36" s="4">
        <v>1</v>
      </c>
      <c r="E36" s="4">
        <v>1</v>
      </c>
      <c r="F36" s="4">
        <v>0</v>
      </c>
      <c r="G36" s="4">
        <v>0</v>
      </c>
      <c r="H36" s="4">
        <v>0</v>
      </c>
      <c r="I36" s="4" t="s">
        <v>1</v>
      </c>
      <c r="K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0.15548485118513161</v>
      </c>
    </row>
    <row r="37" spans="1:11" x14ac:dyDescent="0.3">
      <c r="A37" s="4">
        <v>34</v>
      </c>
      <c r="B37" s="4">
        <v>1300000</v>
      </c>
      <c r="C37" s="4">
        <v>4</v>
      </c>
      <c r="D37" s="4">
        <v>0</v>
      </c>
      <c r="E37" s="4">
        <v>0</v>
      </c>
      <c r="F37" s="4">
        <v>0</v>
      </c>
      <c r="G37" s="4">
        <v>0</v>
      </c>
      <c r="H37" s="4">
        <v>0</v>
      </c>
      <c r="I37" s="4" t="s">
        <v>1</v>
      </c>
      <c r="K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0.47497724072949743</v>
      </c>
    </row>
    <row r="38" spans="1:11" x14ac:dyDescent="0.3">
      <c r="A38" s="4">
        <v>27</v>
      </c>
      <c r="B38" s="4">
        <v>850000</v>
      </c>
      <c r="C38" s="4">
        <v>2</v>
      </c>
      <c r="D38" s="4">
        <v>1</v>
      </c>
      <c r="E38" s="4">
        <v>1</v>
      </c>
      <c r="F38" s="4">
        <v>0</v>
      </c>
      <c r="G38" s="4">
        <v>0</v>
      </c>
      <c r="H38" s="4">
        <v>1</v>
      </c>
      <c r="I38" s="4" t="s">
        <v>1</v>
      </c>
      <c r="K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0.45603923552638631</v>
      </c>
    </row>
    <row r="39" spans="1:11" x14ac:dyDescent="0.3">
      <c r="A39" s="4">
        <v>34</v>
      </c>
      <c r="B39" s="4">
        <v>1050000</v>
      </c>
      <c r="C39" s="4">
        <v>4</v>
      </c>
      <c r="D39" s="4">
        <v>0</v>
      </c>
      <c r="E39" s="4">
        <v>1</v>
      </c>
      <c r="F39" s="4">
        <v>0</v>
      </c>
      <c r="G39" s="4">
        <v>0</v>
      </c>
      <c r="H39" s="4">
        <v>0</v>
      </c>
      <c r="I39" s="4" t="s">
        <v>1</v>
      </c>
      <c r="K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0.31760647040696954</v>
      </c>
    </row>
    <row r="40" spans="1:11" x14ac:dyDescent="0.3">
      <c r="A40" s="4">
        <v>33</v>
      </c>
      <c r="B40" s="4">
        <v>400000</v>
      </c>
      <c r="C40" s="4">
        <v>8</v>
      </c>
      <c r="D40" s="4">
        <v>1</v>
      </c>
      <c r="E40" s="4">
        <v>1</v>
      </c>
      <c r="F40" s="4">
        <v>0</v>
      </c>
      <c r="G40" s="4">
        <v>0</v>
      </c>
      <c r="H40" s="4">
        <v>0</v>
      </c>
      <c r="I40" s="4" t="s">
        <v>1</v>
      </c>
      <c r="K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0.15324521754054404</v>
      </c>
    </row>
    <row r="41" spans="1:11" x14ac:dyDescent="0.3">
      <c r="A41" s="4">
        <v>29</v>
      </c>
      <c r="B41" s="4">
        <v>1050000</v>
      </c>
      <c r="C41" s="4">
        <v>2</v>
      </c>
      <c r="D41" s="4">
        <v>0</v>
      </c>
      <c r="E41" s="4">
        <v>1</v>
      </c>
      <c r="F41" s="4">
        <v>1</v>
      </c>
      <c r="G41" s="4">
        <v>1</v>
      </c>
      <c r="H41" s="4">
        <v>0</v>
      </c>
      <c r="I41" s="4" t="s">
        <v>1</v>
      </c>
      <c r="K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0.32097782541880732</v>
      </c>
    </row>
    <row r="42" spans="1:11" x14ac:dyDescent="0.3">
      <c r="A42" s="4">
        <v>25</v>
      </c>
      <c r="B42" s="4">
        <v>750000</v>
      </c>
      <c r="C42" s="4">
        <v>3</v>
      </c>
      <c r="D42" s="4">
        <v>1</v>
      </c>
      <c r="E42" s="4">
        <v>1</v>
      </c>
      <c r="F42" s="4">
        <v>0</v>
      </c>
      <c r="G42" s="4">
        <v>0</v>
      </c>
      <c r="H42" s="4">
        <v>0</v>
      </c>
      <c r="I42" s="4" t="s">
        <v>1</v>
      </c>
      <c r="K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6.5048739463785379E-2</v>
      </c>
    </row>
    <row r="43" spans="1:11" x14ac:dyDescent="0.3">
      <c r="A43" s="4">
        <v>30</v>
      </c>
      <c r="B43" s="4">
        <v>800000</v>
      </c>
      <c r="C43" s="4">
        <v>4</v>
      </c>
      <c r="D43" s="4">
        <v>0</v>
      </c>
      <c r="E43" s="4">
        <v>0</v>
      </c>
      <c r="F43" s="4">
        <v>0</v>
      </c>
      <c r="G43" s="4">
        <v>0</v>
      </c>
      <c r="H43" s="4">
        <v>0</v>
      </c>
      <c r="I43" s="4" t="s">
        <v>1</v>
      </c>
      <c r="K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0.26741247333988738</v>
      </c>
    </row>
    <row r="44" spans="1:11" x14ac:dyDescent="0.3">
      <c r="A44" s="4">
        <v>25</v>
      </c>
      <c r="B44" s="4">
        <v>1700000</v>
      </c>
      <c r="C44" s="4">
        <v>5</v>
      </c>
      <c r="D44" s="4">
        <v>0</v>
      </c>
      <c r="E44" s="4">
        <v>1</v>
      </c>
      <c r="F44" s="4">
        <v>0</v>
      </c>
      <c r="G44" s="4">
        <v>1</v>
      </c>
      <c r="H44" s="4">
        <v>0</v>
      </c>
      <c r="I44" s="4" t="s">
        <v>1</v>
      </c>
      <c r="K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0.50240072227066335</v>
      </c>
    </row>
    <row r="45" spans="1:11" x14ac:dyDescent="0.3">
      <c r="A45" s="4">
        <v>34</v>
      </c>
      <c r="B45" s="4">
        <v>1100000</v>
      </c>
      <c r="C45" s="4">
        <v>7</v>
      </c>
      <c r="D45" s="4">
        <v>1</v>
      </c>
      <c r="E45" s="4">
        <v>1</v>
      </c>
      <c r="F45" s="4">
        <v>1</v>
      </c>
      <c r="G45" s="4">
        <v>0</v>
      </c>
      <c r="H45" s="4">
        <v>0</v>
      </c>
      <c r="I45" s="4" t="s">
        <v>1</v>
      </c>
      <c r="K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0.3787365146203831</v>
      </c>
    </row>
    <row r="46" spans="1:11" x14ac:dyDescent="0.3">
      <c r="A46" s="4">
        <v>28</v>
      </c>
      <c r="B46" s="4">
        <v>1250000</v>
      </c>
      <c r="C46" s="4">
        <v>6</v>
      </c>
      <c r="D46" s="4">
        <v>0</v>
      </c>
      <c r="E46" s="4">
        <v>1</v>
      </c>
      <c r="F46" s="4">
        <v>0</v>
      </c>
      <c r="G46" s="4">
        <v>0</v>
      </c>
      <c r="H46" s="4">
        <v>1</v>
      </c>
      <c r="I46" s="4" t="s">
        <v>1</v>
      </c>
      <c r="K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0.68199611643966151</v>
      </c>
    </row>
    <row r="47" spans="1:11" x14ac:dyDescent="0.3">
      <c r="A47" s="4">
        <v>27</v>
      </c>
      <c r="B47" s="4">
        <v>600000</v>
      </c>
      <c r="C47" s="4">
        <v>3</v>
      </c>
      <c r="D47" s="4">
        <v>0</v>
      </c>
      <c r="E47" s="4">
        <v>0</v>
      </c>
      <c r="F47" s="4">
        <v>0</v>
      </c>
      <c r="G47" s="4">
        <v>0</v>
      </c>
      <c r="H47" s="4">
        <v>1</v>
      </c>
      <c r="I47" s="4" t="s">
        <v>1</v>
      </c>
      <c r="K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0.49843589424951035</v>
      </c>
    </row>
    <row r="48" spans="1:11" x14ac:dyDescent="0.3">
      <c r="A48" s="4">
        <v>31</v>
      </c>
      <c r="B48" s="4">
        <v>500000</v>
      </c>
      <c r="C48" s="4">
        <v>6</v>
      </c>
      <c r="D48" s="4">
        <v>0</v>
      </c>
      <c r="E48" s="4">
        <v>1</v>
      </c>
      <c r="F48" s="4">
        <v>0</v>
      </c>
      <c r="G48" s="4">
        <v>0</v>
      </c>
      <c r="H48" s="4">
        <v>0</v>
      </c>
      <c r="I48" s="4" t="s">
        <v>1</v>
      </c>
      <c r="K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0.14289334200123177</v>
      </c>
    </row>
    <row r="49" spans="1:11" x14ac:dyDescent="0.3">
      <c r="A49" s="4">
        <v>28</v>
      </c>
      <c r="B49" s="4">
        <v>800000</v>
      </c>
      <c r="C49" s="4">
        <v>5</v>
      </c>
      <c r="D49" s="4">
        <v>0</v>
      </c>
      <c r="E49" s="4">
        <v>1</v>
      </c>
      <c r="F49" s="4">
        <v>0</v>
      </c>
      <c r="G49" s="4">
        <v>0</v>
      </c>
      <c r="H49" s="4">
        <v>0</v>
      </c>
      <c r="I49" s="4" t="s">
        <v>1</v>
      </c>
      <c r="K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0.17658483335039032</v>
      </c>
    </row>
    <row r="50" spans="1:11" x14ac:dyDescent="0.3">
      <c r="A50" s="4">
        <v>30</v>
      </c>
      <c r="B50" s="4">
        <v>800000</v>
      </c>
      <c r="C50" s="4">
        <v>4</v>
      </c>
      <c r="D50" s="4">
        <v>0</v>
      </c>
      <c r="E50" s="4">
        <v>0</v>
      </c>
      <c r="F50" s="4">
        <v>0</v>
      </c>
      <c r="G50" s="4">
        <v>0</v>
      </c>
      <c r="H50" s="4">
        <v>0</v>
      </c>
      <c r="I50" s="4" t="s">
        <v>1</v>
      </c>
      <c r="K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0.26741247333988738</v>
      </c>
    </row>
    <row r="51" spans="1:11" x14ac:dyDescent="0.3">
      <c r="A51" s="4">
        <v>27</v>
      </c>
      <c r="B51" s="4">
        <v>900000</v>
      </c>
      <c r="C51" s="4">
        <v>4</v>
      </c>
      <c r="D51" s="4">
        <v>1</v>
      </c>
      <c r="E51" s="4">
        <v>1</v>
      </c>
      <c r="F51" s="4">
        <v>0</v>
      </c>
      <c r="G51" s="4">
        <v>1</v>
      </c>
      <c r="H51" s="4">
        <v>0</v>
      </c>
      <c r="I51" s="4" t="s">
        <v>1</v>
      </c>
      <c r="K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0.24667177039486121</v>
      </c>
    </row>
    <row r="52" spans="1:11" x14ac:dyDescent="0.3">
      <c r="A52" s="4">
        <v>34</v>
      </c>
      <c r="B52" s="4">
        <v>1050000</v>
      </c>
      <c r="C52" s="4">
        <v>7</v>
      </c>
      <c r="D52" s="4">
        <v>0</v>
      </c>
      <c r="E52" s="4">
        <v>1</v>
      </c>
      <c r="F52" s="4">
        <v>0</v>
      </c>
      <c r="G52" s="4">
        <v>0</v>
      </c>
      <c r="H52" s="4">
        <v>0</v>
      </c>
      <c r="I52" s="4" t="s">
        <v>1</v>
      </c>
      <c r="K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0.36940354748724047</v>
      </c>
    </row>
    <row r="53" spans="1:11" x14ac:dyDescent="0.3">
      <c r="A53" s="4">
        <v>28</v>
      </c>
      <c r="B53" s="4">
        <v>300000</v>
      </c>
      <c r="C53" s="4">
        <v>4</v>
      </c>
      <c r="D53" s="4">
        <v>1</v>
      </c>
      <c r="E53" s="4">
        <v>1</v>
      </c>
      <c r="F53" s="4">
        <v>0</v>
      </c>
      <c r="G53" s="4">
        <v>0</v>
      </c>
      <c r="H53" s="4">
        <v>0</v>
      </c>
      <c r="I53" s="4" t="s">
        <v>1</v>
      </c>
      <c r="K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-1.4560698385696874E-2</v>
      </c>
    </row>
    <row r="54" spans="1:11" x14ac:dyDescent="0.3">
      <c r="A54" s="4">
        <v>30</v>
      </c>
      <c r="B54" s="4">
        <v>650000</v>
      </c>
      <c r="C54" s="4">
        <v>7</v>
      </c>
      <c r="D54" s="4">
        <v>0</v>
      </c>
      <c r="E54" s="4">
        <v>0</v>
      </c>
      <c r="F54" s="4">
        <v>0</v>
      </c>
      <c r="G54" s="4">
        <v>0</v>
      </c>
      <c r="H54" s="4">
        <v>0</v>
      </c>
      <c r="I54" s="4" t="s">
        <v>1</v>
      </c>
      <c r="K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0.27329160391983465</v>
      </c>
    </row>
    <row r="55" spans="1:11" x14ac:dyDescent="0.3">
      <c r="A55" s="4">
        <v>28</v>
      </c>
      <c r="B55" s="4">
        <v>700000</v>
      </c>
      <c r="C55" s="4">
        <v>4</v>
      </c>
      <c r="D55" s="4">
        <v>0</v>
      </c>
      <c r="E55" s="4">
        <v>1</v>
      </c>
      <c r="F55" s="4">
        <v>1</v>
      </c>
      <c r="G55" s="4">
        <v>0</v>
      </c>
      <c r="H55" s="4">
        <v>0</v>
      </c>
      <c r="I55" s="4" t="s">
        <v>1</v>
      </c>
      <c r="K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0.14355417933137041</v>
      </c>
    </row>
    <row r="56" spans="1:11" x14ac:dyDescent="0.3">
      <c r="A56" s="4">
        <v>28</v>
      </c>
      <c r="B56" s="4">
        <v>800000</v>
      </c>
      <c r="C56" s="4">
        <v>7</v>
      </c>
      <c r="D56" s="4">
        <v>0</v>
      </c>
      <c r="E56" s="4">
        <v>1</v>
      </c>
      <c r="F56" s="4">
        <v>0</v>
      </c>
      <c r="G56" s="4">
        <v>1</v>
      </c>
      <c r="H56" s="4">
        <v>0</v>
      </c>
      <c r="I56" s="4" t="s">
        <v>1</v>
      </c>
      <c r="K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0.30230313728030056</v>
      </c>
    </row>
    <row r="57" spans="1:11" x14ac:dyDescent="0.3">
      <c r="A57" s="4">
        <v>33</v>
      </c>
      <c r="B57" s="4">
        <v>550000</v>
      </c>
      <c r="C57" s="4">
        <v>4</v>
      </c>
      <c r="D57" s="4">
        <v>0</v>
      </c>
      <c r="E57" s="4">
        <v>1</v>
      </c>
      <c r="F57" s="4">
        <v>0</v>
      </c>
      <c r="G57" s="4">
        <v>0</v>
      </c>
      <c r="H57" s="4">
        <v>0</v>
      </c>
      <c r="I57" s="4" t="s">
        <v>1</v>
      </c>
      <c r="K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0.15092041230875797</v>
      </c>
    </row>
    <row r="58" spans="1:11" x14ac:dyDescent="0.3">
      <c r="A58" s="4">
        <v>34</v>
      </c>
      <c r="B58" s="4">
        <v>1000000</v>
      </c>
      <c r="C58" s="4">
        <v>6</v>
      </c>
      <c r="D58" s="4">
        <v>0</v>
      </c>
      <c r="E58" s="4">
        <v>1</v>
      </c>
      <c r="F58" s="4">
        <v>1</v>
      </c>
      <c r="G58" s="4">
        <v>0</v>
      </c>
      <c r="H58" s="4">
        <v>0</v>
      </c>
      <c r="I58" s="4" t="s">
        <v>1</v>
      </c>
      <c r="K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0.35167887563499511</v>
      </c>
    </row>
    <row r="59" spans="1:11" x14ac:dyDescent="0.3">
      <c r="A59" s="4">
        <v>34</v>
      </c>
      <c r="B59" s="4">
        <v>1300000</v>
      </c>
      <c r="C59" s="4">
        <v>6</v>
      </c>
      <c r="D59" s="4">
        <v>0</v>
      </c>
      <c r="E59" s="4">
        <v>1</v>
      </c>
      <c r="F59" s="4">
        <v>0</v>
      </c>
      <c r="G59" s="4">
        <v>0</v>
      </c>
      <c r="H59" s="4">
        <v>0</v>
      </c>
      <c r="I59" s="4" t="s">
        <v>1</v>
      </c>
      <c r="K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0.42866776596102296</v>
      </c>
    </row>
    <row r="60" spans="1:11" x14ac:dyDescent="0.3">
      <c r="A60" s="4">
        <v>34</v>
      </c>
      <c r="B60" s="4">
        <v>1050000</v>
      </c>
      <c r="C60" s="4">
        <v>7</v>
      </c>
      <c r="D60" s="4">
        <v>0</v>
      </c>
      <c r="E60" s="4">
        <v>1</v>
      </c>
      <c r="F60" s="4">
        <v>1</v>
      </c>
      <c r="G60" s="4">
        <v>0</v>
      </c>
      <c r="H60" s="4">
        <v>0</v>
      </c>
      <c r="I60" s="4" t="s">
        <v>1</v>
      </c>
      <c r="K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0.38425055016185994</v>
      </c>
    </row>
    <row r="61" spans="1:11" x14ac:dyDescent="0.3">
      <c r="A61" s="4">
        <v>29</v>
      </c>
      <c r="B61" s="4">
        <v>500000</v>
      </c>
      <c r="C61" s="4">
        <v>6</v>
      </c>
      <c r="D61" s="4">
        <v>0</v>
      </c>
      <c r="E61" s="4">
        <v>1</v>
      </c>
      <c r="F61" s="4">
        <v>0</v>
      </c>
      <c r="G61" s="4">
        <v>0</v>
      </c>
      <c r="H61" s="4">
        <v>0</v>
      </c>
      <c r="I61" s="4" t="s">
        <v>1</v>
      </c>
      <c r="K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0.11564086914029949</v>
      </c>
    </row>
    <row r="62" spans="1:11" x14ac:dyDescent="0.3">
      <c r="A62" s="4">
        <v>29</v>
      </c>
      <c r="B62" s="4">
        <v>1050000</v>
      </c>
      <c r="C62" s="4">
        <v>5</v>
      </c>
      <c r="D62" s="4">
        <v>0</v>
      </c>
      <c r="E62" s="4">
        <v>1</v>
      </c>
      <c r="F62" s="4">
        <v>1</v>
      </c>
      <c r="G62" s="4">
        <v>0</v>
      </c>
      <c r="H62" s="4">
        <v>1</v>
      </c>
      <c r="I62" s="4" t="s">
        <v>1</v>
      </c>
      <c r="K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0.63197973451755851</v>
      </c>
    </row>
    <row r="63" spans="1:11" x14ac:dyDescent="0.3">
      <c r="A63" s="4">
        <v>28</v>
      </c>
      <c r="B63" s="4">
        <v>600000</v>
      </c>
      <c r="C63" s="4">
        <v>3</v>
      </c>
      <c r="D63" s="4">
        <v>1</v>
      </c>
      <c r="E63" s="4">
        <v>1</v>
      </c>
      <c r="F63" s="4">
        <v>0</v>
      </c>
      <c r="G63" s="4">
        <v>1</v>
      </c>
      <c r="H63" s="4">
        <v>0</v>
      </c>
      <c r="I63" s="4" t="s">
        <v>1</v>
      </c>
      <c r="K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0.15119642146458973</v>
      </c>
    </row>
    <row r="64" spans="1:11" x14ac:dyDescent="0.3">
      <c r="A64" s="4">
        <v>27</v>
      </c>
      <c r="B64" s="4">
        <v>500000</v>
      </c>
      <c r="C64" s="4">
        <v>3</v>
      </c>
      <c r="D64" s="4">
        <v>1</v>
      </c>
      <c r="E64" s="4">
        <v>1</v>
      </c>
      <c r="F64" s="4">
        <v>1</v>
      </c>
      <c r="G64" s="4">
        <v>0</v>
      </c>
      <c r="H64" s="4">
        <v>0</v>
      </c>
      <c r="I64" s="4" t="s">
        <v>1</v>
      </c>
      <c r="K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3.061830416546437E-2</v>
      </c>
    </row>
    <row r="65" spans="1:11" x14ac:dyDescent="0.3">
      <c r="A65" s="4">
        <v>34</v>
      </c>
      <c r="B65" s="4">
        <v>1300000</v>
      </c>
      <c r="C65" s="4">
        <v>6</v>
      </c>
      <c r="D65" s="4">
        <v>0</v>
      </c>
      <c r="E65" s="4">
        <v>1</v>
      </c>
      <c r="F65" s="4">
        <v>0</v>
      </c>
      <c r="G65" s="4">
        <v>0</v>
      </c>
      <c r="H65" s="4">
        <v>0</v>
      </c>
      <c r="I65" s="4" t="s">
        <v>1</v>
      </c>
      <c r="K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0.42866776596102296</v>
      </c>
    </row>
    <row r="66" spans="1:11" x14ac:dyDescent="0.3">
      <c r="A66" s="4">
        <v>28</v>
      </c>
      <c r="B66" s="4">
        <v>650000</v>
      </c>
      <c r="C66" s="4">
        <v>5</v>
      </c>
      <c r="D66" s="4">
        <v>0</v>
      </c>
      <c r="E66" s="4">
        <v>1</v>
      </c>
      <c r="F66" s="4">
        <v>0</v>
      </c>
      <c r="G66" s="4">
        <v>0</v>
      </c>
      <c r="H66" s="4">
        <v>1</v>
      </c>
      <c r="I66" s="4" t="s">
        <v>1</v>
      </c>
      <c r="K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0.48105863807827659</v>
      </c>
    </row>
    <row r="67" spans="1:11" x14ac:dyDescent="0.3">
      <c r="A67" s="4">
        <v>34</v>
      </c>
      <c r="B67" s="4">
        <v>1300000</v>
      </c>
      <c r="C67" s="4">
        <v>8</v>
      </c>
      <c r="D67" s="4">
        <v>1</v>
      </c>
      <c r="E67" s="4">
        <v>1</v>
      </c>
      <c r="F67" s="4">
        <v>0</v>
      </c>
      <c r="G67" s="4">
        <v>0</v>
      </c>
      <c r="H67" s="4">
        <v>0</v>
      </c>
      <c r="I67" s="4" t="s">
        <v>1</v>
      </c>
      <c r="K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0.44237913297295217</v>
      </c>
    </row>
    <row r="68" spans="1:11" x14ac:dyDescent="0.3">
      <c r="A68" s="4">
        <v>35</v>
      </c>
      <c r="B68" s="4">
        <v>800000</v>
      </c>
      <c r="C68" s="4">
        <v>4</v>
      </c>
      <c r="D68" s="4">
        <v>0</v>
      </c>
      <c r="E68" s="4">
        <v>0</v>
      </c>
      <c r="F68" s="4">
        <v>0</v>
      </c>
      <c r="G68" s="4">
        <v>0</v>
      </c>
      <c r="H68" s="4">
        <v>0</v>
      </c>
      <c r="I68" s="4" t="s">
        <v>1</v>
      </c>
      <c r="K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0.3355436554922181</v>
      </c>
    </row>
    <row r="69" spans="1:11" x14ac:dyDescent="0.3">
      <c r="A69" s="4">
        <v>28</v>
      </c>
      <c r="B69" s="4">
        <v>1350000</v>
      </c>
      <c r="C69" s="4">
        <v>9</v>
      </c>
      <c r="D69" s="4">
        <v>0</v>
      </c>
      <c r="E69" s="4">
        <v>1</v>
      </c>
      <c r="F69" s="4">
        <v>0</v>
      </c>
      <c r="G69" s="4">
        <v>0</v>
      </c>
      <c r="H69" s="4">
        <v>1</v>
      </c>
      <c r="I69" s="4" t="s">
        <v>1</v>
      </c>
      <c r="K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0.7644051578534814</v>
      </c>
    </row>
    <row r="70" spans="1:11" x14ac:dyDescent="0.3">
      <c r="A70" s="4">
        <v>28</v>
      </c>
      <c r="B70" s="4">
        <v>550000</v>
      </c>
      <c r="C70" s="4">
        <v>6</v>
      </c>
      <c r="D70" s="4">
        <v>0</v>
      </c>
      <c r="E70" s="4">
        <v>0</v>
      </c>
      <c r="F70" s="4">
        <v>0</v>
      </c>
      <c r="G70" s="4">
        <v>0</v>
      </c>
      <c r="H70" s="4">
        <v>0</v>
      </c>
      <c r="I70" s="4" t="s">
        <v>1</v>
      </c>
      <c r="K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0.19816147436526294</v>
      </c>
    </row>
    <row r="71" spans="1:11" x14ac:dyDescent="0.3">
      <c r="A71" s="4">
        <v>33</v>
      </c>
      <c r="B71" s="4">
        <v>1100000</v>
      </c>
      <c r="C71" s="4">
        <v>4</v>
      </c>
      <c r="D71" s="4">
        <v>1</v>
      </c>
      <c r="E71" s="4">
        <v>1</v>
      </c>
      <c r="F71" s="4">
        <v>1</v>
      </c>
      <c r="G71" s="4">
        <v>0</v>
      </c>
      <c r="H71" s="4">
        <v>0</v>
      </c>
      <c r="I71" s="4" t="s">
        <v>1</v>
      </c>
      <c r="K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0.31331320110964606</v>
      </c>
    </row>
    <row r="72" spans="1:11" x14ac:dyDescent="0.3">
      <c r="A72" s="4">
        <v>32</v>
      </c>
      <c r="B72" s="4">
        <v>850000</v>
      </c>
      <c r="C72" s="4">
        <v>3</v>
      </c>
      <c r="D72" s="4">
        <v>1</v>
      </c>
      <c r="E72" s="4">
        <v>1</v>
      </c>
      <c r="F72" s="4">
        <v>0</v>
      </c>
      <c r="G72" s="4">
        <v>0</v>
      </c>
      <c r="H72" s="4">
        <v>0</v>
      </c>
      <c r="I72" s="4" t="s">
        <v>1</v>
      </c>
      <c r="K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0.19104435881059739</v>
      </c>
    </row>
    <row r="73" spans="1:11" x14ac:dyDescent="0.3">
      <c r="A73" s="4">
        <v>29</v>
      </c>
      <c r="B73" s="4">
        <v>1200000</v>
      </c>
      <c r="C73" s="4">
        <v>4</v>
      </c>
      <c r="D73" s="4">
        <v>0</v>
      </c>
      <c r="E73" s="4">
        <v>1</v>
      </c>
      <c r="F73" s="4">
        <v>0</v>
      </c>
      <c r="G73" s="4">
        <v>0</v>
      </c>
      <c r="H73" s="4">
        <v>0</v>
      </c>
      <c r="I73" s="4" t="s">
        <v>1</v>
      </c>
      <c r="K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74" spans="1:11" x14ac:dyDescent="0.3">
      <c r="A74" s="4">
        <v>28</v>
      </c>
      <c r="B74" s="4">
        <v>300000</v>
      </c>
      <c r="C74" s="4">
        <v>6</v>
      </c>
      <c r="D74" s="4">
        <v>1</v>
      </c>
      <c r="E74" s="4">
        <v>0</v>
      </c>
      <c r="F74" s="4">
        <v>0</v>
      </c>
      <c r="G74" s="4">
        <v>0</v>
      </c>
      <c r="H74" s="4">
        <v>0</v>
      </c>
      <c r="I74" s="4" t="s">
        <v>1</v>
      </c>
      <c r="K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0.10081154582313875</v>
      </c>
    </row>
    <row r="75" spans="1:11" x14ac:dyDescent="0.3">
      <c r="A75" s="4">
        <v>27</v>
      </c>
      <c r="B75" s="4">
        <v>500000</v>
      </c>
      <c r="C75" s="4">
        <v>6</v>
      </c>
      <c r="D75" s="4">
        <v>1</v>
      </c>
      <c r="E75" s="4">
        <v>1</v>
      </c>
      <c r="F75" s="4">
        <v>1</v>
      </c>
      <c r="G75" s="4">
        <v>0</v>
      </c>
      <c r="H75" s="4">
        <v>0</v>
      </c>
      <c r="I75" s="4" t="s">
        <v>1</v>
      </c>
      <c r="K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8.2415381245735275E-2</v>
      </c>
    </row>
    <row r="76" spans="1:11" x14ac:dyDescent="0.3">
      <c r="A76" s="4">
        <v>33</v>
      </c>
      <c r="B76" s="4">
        <v>1400000</v>
      </c>
      <c r="C76" s="4">
        <v>6</v>
      </c>
      <c r="D76" s="4">
        <v>0</v>
      </c>
      <c r="E76" s="4">
        <v>1</v>
      </c>
      <c r="F76" s="4">
        <v>1</v>
      </c>
      <c r="G76" s="4">
        <v>0</v>
      </c>
      <c r="H76" s="4">
        <v>1</v>
      </c>
      <c r="I76" s="4" t="s">
        <v>1</v>
      </c>
      <c r="K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0.81089224776693525</v>
      </c>
    </row>
    <row r="77" spans="1:11" x14ac:dyDescent="0.3">
      <c r="A77" s="4">
        <v>34</v>
      </c>
      <c r="B77" s="4">
        <v>700000</v>
      </c>
      <c r="C77" s="4">
        <v>7</v>
      </c>
      <c r="D77" s="4">
        <v>0</v>
      </c>
      <c r="E77" s="4">
        <v>1</v>
      </c>
      <c r="F77" s="4">
        <v>1</v>
      </c>
      <c r="G77" s="4">
        <v>0</v>
      </c>
      <c r="H77" s="4">
        <v>0</v>
      </c>
      <c r="I77" s="4" t="s">
        <v>1</v>
      </c>
      <c r="K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0.27710867499443814</v>
      </c>
    </row>
    <row r="78" spans="1:11" x14ac:dyDescent="0.3">
      <c r="A78" s="4">
        <v>27</v>
      </c>
      <c r="B78" s="4">
        <v>500000</v>
      </c>
      <c r="C78" s="4">
        <v>4</v>
      </c>
      <c r="D78" s="4">
        <v>1</v>
      </c>
      <c r="E78" s="4">
        <v>1</v>
      </c>
      <c r="F78" s="4">
        <v>1</v>
      </c>
      <c r="G78" s="4">
        <v>0</v>
      </c>
      <c r="H78" s="4">
        <v>0</v>
      </c>
      <c r="I78" s="4" t="s">
        <v>1</v>
      </c>
      <c r="K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4.788399652555466E-2</v>
      </c>
    </row>
    <row r="79" spans="1:11" x14ac:dyDescent="0.3">
      <c r="A79" s="4">
        <v>26</v>
      </c>
      <c r="B79" s="4">
        <v>1500000</v>
      </c>
      <c r="C79" s="4">
        <v>3</v>
      </c>
      <c r="D79" s="4">
        <v>0</v>
      </c>
      <c r="E79" s="4">
        <v>1</v>
      </c>
      <c r="F79" s="4">
        <v>0</v>
      </c>
      <c r="G79" s="4">
        <v>1</v>
      </c>
      <c r="H79" s="4">
        <v>1</v>
      </c>
      <c r="I79" s="4" t="s">
        <v>1</v>
      </c>
      <c r="K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0.77066339654206062</v>
      </c>
    </row>
    <row r="80" spans="1:11" x14ac:dyDescent="0.3">
      <c r="A80" s="4">
        <v>28</v>
      </c>
      <c r="B80" s="4">
        <v>800000</v>
      </c>
      <c r="C80" s="4">
        <v>5</v>
      </c>
      <c r="D80" s="4">
        <v>0</v>
      </c>
      <c r="E80" s="4">
        <v>1</v>
      </c>
      <c r="F80" s="4">
        <v>0</v>
      </c>
      <c r="G80" s="4">
        <v>0</v>
      </c>
      <c r="H80" s="4">
        <v>0</v>
      </c>
      <c r="I80" s="4" t="s">
        <v>1</v>
      </c>
      <c r="K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0.17658483335039032</v>
      </c>
    </row>
    <row r="81" spans="1:11" x14ac:dyDescent="0.3">
      <c r="A81" s="4">
        <v>28</v>
      </c>
      <c r="B81" s="4">
        <v>600000</v>
      </c>
      <c r="C81" s="4">
        <v>4</v>
      </c>
      <c r="D81" s="4">
        <v>1</v>
      </c>
      <c r="E81" s="4">
        <v>1</v>
      </c>
      <c r="F81" s="4">
        <v>1</v>
      </c>
      <c r="G81" s="4">
        <v>0</v>
      </c>
      <c r="H81" s="4">
        <v>0</v>
      </c>
      <c r="I81" s="4" t="s">
        <v>1</v>
      </c>
      <c r="K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9.2122197289569885E-2</v>
      </c>
    </row>
    <row r="82" spans="1:11" x14ac:dyDescent="0.3">
      <c r="A82" s="4">
        <v>27</v>
      </c>
      <c r="B82" s="4">
        <v>500000</v>
      </c>
      <c r="C82" s="4">
        <v>5</v>
      </c>
      <c r="D82" s="4">
        <v>1</v>
      </c>
      <c r="E82" s="4">
        <v>1</v>
      </c>
      <c r="F82" s="4">
        <v>0</v>
      </c>
      <c r="G82" s="4">
        <v>0</v>
      </c>
      <c r="H82" s="4">
        <v>0</v>
      </c>
      <c r="I82" s="4" t="s">
        <v>1</v>
      </c>
      <c r="K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5.0302686211025502E-2</v>
      </c>
    </row>
    <row r="83" spans="1:11" x14ac:dyDescent="0.3">
      <c r="A83" s="4">
        <v>29</v>
      </c>
      <c r="B83" s="4">
        <v>350000</v>
      </c>
      <c r="C83" s="4">
        <v>4</v>
      </c>
      <c r="D83" s="4">
        <v>0</v>
      </c>
      <c r="E83" s="4">
        <v>1</v>
      </c>
      <c r="F83" s="4">
        <v>0</v>
      </c>
      <c r="G83" s="4">
        <v>0</v>
      </c>
      <c r="H83" s="4">
        <v>0</v>
      </c>
      <c r="I83" s="4" t="s">
        <v>1</v>
      </c>
      <c r="K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3.5191537919795235E-2</v>
      </c>
    </row>
    <row r="84" spans="1:11" x14ac:dyDescent="0.3">
      <c r="A84" s="4">
        <v>34</v>
      </c>
      <c r="B84" s="4">
        <v>700000</v>
      </c>
      <c r="C84" s="4">
        <v>3</v>
      </c>
      <c r="D84" s="4">
        <v>0</v>
      </c>
      <c r="E84" s="4">
        <v>1</v>
      </c>
      <c r="F84" s="4">
        <v>1</v>
      </c>
      <c r="G84" s="4">
        <v>0</v>
      </c>
      <c r="H84" s="4">
        <v>0</v>
      </c>
      <c r="I84" s="4" t="s">
        <v>1</v>
      </c>
      <c r="K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0.2080459055540769</v>
      </c>
    </row>
    <row r="85" spans="1:11" x14ac:dyDescent="0.3">
      <c r="A85" s="4">
        <v>28</v>
      </c>
      <c r="B85" s="4">
        <v>300000</v>
      </c>
      <c r="C85" s="4">
        <v>6</v>
      </c>
      <c r="D85" s="4">
        <v>1</v>
      </c>
      <c r="E85" s="4">
        <v>0</v>
      </c>
      <c r="F85" s="4">
        <v>0</v>
      </c>
      <c r="G85" s="4">
        <v>0</v>
      </c>
      <c r="H85" s="4">
        <v>0</v>
      </c>
      <c r="I85" s="4" t="s">
        <v>1</v>
      </c>
      <c r="K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0.10081154582313875</v>
      </c>
    </row>
    <row r="86" spans="1:11" x14ac:dyDescent="0.3">
      <c r="A86" s="4">
        <v>34</v>
      </c>
      <c r="B86" s="4">
        <v>1500000</v>
      </c>
      <c r="C86" s="4">
        <v>5</v>
      </c>
      <c r="D86" s="4">
        <v>0</v>
      </c>
      <c r="E86" s="4">
        <v>1</v>
      </c>
      <c r="F86" s="4">
        <v>0</v>
      </c>
      <c r="G86" s="4">
        <v>1</v>
      </c>
      <c r="H86" s="4">
        <v>1</v>
      </c>
      <c r="I86" s="4" t="s">
        <v>1</v>
      </c>
      <c r="K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0.91420467270597028</v>
      </c>
    </row>
    <row r="87" spans="1:11" x14ac:dyDescent="0.3">
      <c r="A87" s="4">
        <v>30</v>
      </c>
      <c r="B87" s="4">
        <v>800000</v>
      </c>
      <c r="C87" s="4">
        <v>3</v>
      </c>
      <c r="D87" s="4">
        <v>0</v>
      </c>
      <c r="E87" s="4">
        <v>0</v>
      </c>
      <c r="F87" s="4">
        <v>0</v>
      </c>
      <c r="G87" s="4">
        <v>0</v>
      </c>
      <c r="H87" s="4">
        <v>0</v>
      </c>
      <c r="I87" s="4" t="s">
        <v>1</v>
      </c>
      <c r="K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0.25014678097979709</v>
      </c>
    </row>
    <row r="88" spans="1:11" x14ac:dyDescent="0.3">
      <c r="A88" s="4">
        <v>28</v>
      </c>
      <c r="B88" s="4">
        <v>600000</v>
      </c>
      <c r="C88" s="4">
        <v>5</v>
      </c>
      <c r="D88" s="4">
        <v>1</v>
      </c>
      <c r="E88" s="4">
        <v>1</v>
      </c>
      <c r="F88" s="4">
        <v>0</v>
      </c>
      <c r="G88" s="4">
        <v>0</v>
      </c>
      <c r="H88" s="4">
        <v>0</v>
      </c>
      <c r="I88" s="4" t="s">
        <v>1</v>
      </c>
      <c r="K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9.4540886975040719E-2</v>
      </c>
    </row>
    <row r="89" spans="1:11" x14ac:dyDescent="0.3">
      <c r="A89" s="4">
        <v>29</v>
      </c>
      <c r="B89" s="4">
        <v>500000</v>
      </c>
      <c r="C89" s="4">
        <v>7</v>
      </c>
      <c r="D89" s="4">
        <v>0</v>
      </c>
      <c r="E89" s="4">
        <v>1</v>
      </c>
      <c r="F89" s="4">
        <v>0</v>
      </c>
      <c r="G89" s="4">
        <v>0</v>
      </c>
      <c r="H89" s="4">
        <v>0</v>
      </c>
      <c r="I89" s="4" t="s">
        <v>1</v>
      </c>
      <c r="K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0.13290656150038976</v>
      </c>
    </row>
    <row r="90" spans="1:11" x14ac:dyDescent="0.3">
      <c r="A90" s="4">
        <v>35</v>
      </c>
      <c r="B90" s="4">
        <v>950000</v>
      </c>
      <c r="C90" s="4">
        <v>3</v>
      </c>
      <c r="D90" s="4">
        <v>0</v>
      </c>
      <c r="E90" s="4">
        <v>0</v>
      </c>
      <c r="F90" s="4">
        <v>0</v>
      </c>
      <c r="G90" s="4">
        <v>0</v>
      </c>
      <c r="H90" s="4">
        <v>0</v>
      </c>
      <c r="I90" s="4" t="s">
        <v>1</v>
      </c>
      <c r="K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0.36419590963245141</v>
      </c>
    </row>
    <row r="91" spans="1:11" x14ac:dyDescent="0.3">
      <c r="A91" s="4">
        <v>31</v>
      </c>
      <c r="B91" s="4">
        <v>950000</v>
      </c>
      <c r="C91" s="4">
        <v>6</v>
      </c>
      <c r="D91" s="4">
        <v>0</v>
      </c>
      <c r="E91" s="4">
        <v>1</v>
      </c>
      <c r="F91" s="4">
        <v>0</v>
      </c>
      <c r="G91" s="4">
        <v>0</v>
      </c>
      <c r="H91" s="4">
        <v>0</v>
      </c>
      <c r="I91" s="4" t="s">
        <v>1</v>
      </c>
      <c r="K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0.28064718150220275</v>
      </c>
    </row>
    <row r="92" spans="1:11" x14ac:dyDescent="0.3">
      <c r="A92" s="4">
        <v>28</v>
      </c>
      <c r="B92" s="4">
        <v>800000</v>
      </c>
      <c r="C92" s="4">
        <v>5</v>
      </c>
      <c r="D92" s="4">
        <v>0</v>
      </c>
      <c r="E92" s="4">
        <v>1</v>
      </c>
      <c r="F92" s="4">
        <v>0</v>
      </c>
      <c r="G92" s="4">
        <v>1</v>
      </c>
      <c r="H92" s="4">
        <v>0</v>
      </c>
      <c r="I92" s="4" t="s">
        <v>1</v>
      </c>
      <c r="K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0.26777175256011992</v>
      </c>
    </row>
    <row r="93" spans="1:11" x14ac:dyDescent="0.3">
      <c r="A93" s="4">
        <v>32</v>
      </c>
      <c r="B93" s="4">
        <v>350000</v>
      </c>
      <c r="C93" s="4">
        <v>3</v>
      </c>
      <c r="D93" s="4">
        <v>1</v>
      </c>
      <c r="E93" s="4">
        <v>1</v>
      </c>
      <c r="F93" s="4">
        <v>0</v>
      </c>
      <c r="G93" s="4">
        <v>0</v>
      </c>
      <c r="H93" s="4">
        <v>0</v>
      </c>
      <c r="I93" s="4" t="s">
        <v>1</v>
      </c>
      <c r="K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3.7984537142851924E-2</v>
      </c>
    </row>
    <row r="94" spans="1:11" x14ac:dyDescent="0.3">
      <c r="A94" s="4">
        <v>25</v>
      </c>
      <c r="B94" s="4">
        <v>1400000</v>
      </c>
      <c r="C94" s="4">
        <v>6</v>
      </c>
      <c r="D94" s="4">
        <v>0</v>
      </c>
      <c r="E94" s="4">
        <v>1</v>
      </c>
      <c r="F94" s="4">
        <v>0</v>
      </c>
      <c r="G94" s="4">
        <v>1</v>
      </c>
      <c r="H94" s="4">
        <v>1</v>
      </c>
      <c r="I94" s="4" t="s">
        <v>1</v>
      </c>
      <c r="K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0.77822227285831636</v>
      </c>
    </row>
    <row r="95" spans="1:11" x14ac:dyDescent="0.3">
      <c r="A95" s="4">
        <v>27</v>
      </c>
      <c r="B95" s="4">
        <v>500000</v>
      </c>
      <c r="C95" s="4">
        <v>5</v>
      </c>
      <c r="D95" s="4">
        <v>1</v>
      </c>
      <c r="E95" s="4">
        <v>1</v>
      </c>
      <c r="F95" s="4">
        <v>0</v>
      </c>
      <c r="G95" s="4">
        <v>0</v>
      </c>
      <c r="H95" s="4">
        <v>0</v>
      </c>
      <c r="I95" s="4" t="s">
        <v>1</v>
      </c>
      <c r="K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5.0302686211025502E-2</v>
      </c>
    </row>
    <row r="96" spans="1:11" x14ac:dyDescent="0.3">
      <c r="A96" s="4">
        <v>27</v>
      </c>
      <c r="B96" s="4">
        <v>850000</v>
      </c>
      <c r="C96" s="4">
        <v>6</v>
      </c>
      <c r="D96" s="4">
        <v>1</v>
      </c>
      <c r="E96" s="4">
        <v>1</v>
      </c>
      <c r="F96" s="4">
        <v>0</v>
      </c>
      <c r="G96" s="4">
        <v>0</v>
      </c>
      <c r="H96" s="4">
        <v>0</v>
      </c>
      <c r="I96" s="4" t="s">
        <v>1</v>
      </c>
      <c r="K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0.17471025373853766</v>
      </c>
    </row>
    <row r="97" spans="1:11" x14ac:dyDescent="0.3">
      <c r="A97" s="4">
        <v>25</v>
      </c>
      <c r="B97" s="4">
        <v>1400000</v>
      </c>
      <c r="C97" s="4">
        <v>4</v>
      </c>
      <c r="D97" s="4">
        <v>0</v>
      </c>
      <c r="E97" s="4">
        <v>1</v>
      </c>
      <c r="F97" s="4">
        <v>0</v>
      </c>
      <c r="G97" s="4">
        <v>0</v>
      </c>
      <c r="H97" s="4">
        <v>1</v>
      </c>
      <c r="I97" s="4" t="s">
        <v>1</v>
      </c>
      <c r="K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0.65250396892840612</v>
      </c>
    </row>
    <row r="98" spans="1:11" x14ac:dyDescent="0.3">
      <c r="A98" s="4">
        <v>31</v>
      </c>
      <c r="B98" s="4">
        <v>400000</v>
      </c>
      <c r="C98" s="4">
        <v>6</v>
      </c>
      <c r="D98" s="4">
        <v>1</v>
      </c>
      <c r="E98" s="4">
        <v>1</v>
      </c>
      <c r="F98" s="4">
        <v>0</v>
      </c>
      <c r="G98" s="4">
        <v>0</v>
      </c>
      <c r="H98" s="4">
        <v>0</v>
      </c>
      <c r="I98" s="4" t="s">
        <v>1</v>
      </c>
      <c r="K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9.1461359959431235E-2</v>
      </c>
    </row>
    <row r="99" spans="1:11" x14ac:dyDescent="0.3">
      <c r="A99" s="4">
        <v>27</v>
      </c>
      <c r="B99" s="4">
        <v>500000</v>
      </c>
      <c r="C99" s="4">
        <v>5</v>
      </c>
      <c r="D99" s="4">
        <v>1</v>
      </c>
      <c r="E99" s="4">
        <v>1</v>
      </c>
      <c r="F99" s="4">
        <v>0</v>
      </c>
      <c r="G99" s="4">
        <v>0</v>
      </c>
      <c r="H99" s="4">
        <v>0</v>
      </c>
      <c r="I99" s="4" t="s">
        <v>1</v>
      </c>
      <c r="K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5.0302686211025502E-2</v>
      </c>
    </row>
    <row r="100" spans="1:11" x14ac:dyDescent="0.3">
      <c r="A100" s="4">
        <v>28</v>
      </c>
      <c r="B100" s="4">
        <v>1200000</v>
      </c>
      <c r="C100" s="4">
        <v>4</v>
      </c>
      <c r="D100" s="4">
        <v>0</v>
      </c>
      <c r="E100" s="4">
        <v>1</v>
      </c>
      <c r="F100" s="4">
        <v>0</v>
      </c>
      <c r="G100" s="4">
        <v>0</v>
      </c>
      <c r="H100" s="4">
        <v>0</v>
      </c>
      <c r="I100" s="4" t="s">
        <v>1</v>
      </c>
      <c r="K1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0.28176699832449648</v>
      </c>
    </row>
    <row r="101" spans="1:11" x14ac:dyDescent="0.3">
      <c r="A101" s="4">
        <v>29</v>
      </c>
      <c r="B101" s="4">
        <v>1100000</v>
      </c>
      <c r="C101" s="4">
        <v>7</v>
      </c>
      <c r="D101" s="4">
        <v>0</v>
      </c>
      <c r="E101" s="4">
        <v>1</v>
      </c>
      <c r="F101" s="4">
        <v>0</v>
      </c>
      <c r="G101" s="4">
        <v>0</v>
      </c>
      <c r="H101" s="4">
        <v>0</v>
      </c>
      <c r="I101" s="4" t="s">
        <v>1</v>
      </c>
      <c r="K1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0.3165783475016844</v>
      </c>
    </row>
    <row r="102" spans="1:11" x14ac:dyDescent="0.3">
      <c r="A102" s="4">
        <v>31</v>
      </c>
      <c r="B102" s="4">
        <v>1500000</v>
      </c>
      <c r="C102" s="4">
        <v>5</v>
      </c>
      <c r="D102" s="4">
        <v>1</v>
      </c>
      <c r="E102" s="4">
        <v>1</v>
      </c>
      <c r="F102" s="4">
        <v>1</v>
      </c>
      <c r="G102" s="4">
        <v>1</v>
      </c>
      <c r="H102" s="4">
        <v>1</v>
      </c>
      <c r="I102" s="4" t="s">
        <v>1</v>
      </c>
      <c r="K1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0.86735294838094001</v>
      </c>
    </row>
    <row r="103" spans="1:11" x14ac:dyDescent="0.3">
      <c r="A103" s="4">
        <v>29</v>
      </c>
      <c r="B103" s="4">
        <v>1200000</v>
      </c>
      <c r="C103" s="4">
        <v>7</v>
      </c>
      <c r="D103" s="4">
        <v>0</v>
      </c>
      <c r="E103" s="4">
        <v>1</v>
      </c>
      <c r="F103" s="4">
        <v>0</v>
      </c>
      <c r="G103" s="4">
        <v>0</v>
      </c>
      <c r="H103" s="4">
        <v>1</v>
      </c>
      <c r="I103" s="4" t="s">
        <v>1</v>
      </c>
      <c r="K1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0.69758206306344328</v>
      </c>
    </row>
    <row r="104" spans="1:11" x14ac:dyDescent="0.3">
      <c r="A104" s="4">
        <v>29</v>
      </c>
      <c r="B104" s="4">
        <v>500000</v>
      </c>
      <c r="C104" s="4">
        <v>2</v>
      </c>
      <c r="D104" s="4">
        <v>0</v>
      </c>
      <c r="E104" s="4">
        <v>1</v>
      </c>
      <c r="F104" s="4">
        <v>0</v>
      </c>
      <c r="G104" s="4">
        <v>0</v>
      </c>
      <c r="H104" s="4">
        <v>0</v>
      </c>
      <c r="I104" s="4" t="s">
        <v>1</v>
      </c>
      <c r="K1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4.6578099699938272E-2</v>
      </c>
    </row>
    <row r="105" spans="1:11" x14ac:dyDescent="0.3">
      <c r="A105" s="4">
        <v>34</v>
      </c>
      <c r="B105" s="4">
        <v>1000000</v>
      </c>
      <c r="C105" s="4">
        <v>4</v>
      </c>
      <c r="D105" s="4">
        <v>0</v>
      </c>
      <c r="E105" s="4">
        <v>1</v>
      </c>
      <c r="F105" s="4">
        <v>0</v>
      </c>
      <c r="G105" s="4">
        <v>0</v>
      </c>
      <c r="H105" s="4">
        <v>0</v>
      </c>
      <c r="I105" s="4" t="s">
        <v>1</v>
      </c>
      <c r="K1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0.30230048824019506</v>
      </c>
    </row>
    <row r="106" spans="1:11" x14ac:dyDescent="0.3">
      <c r="A106" s="4">
        <v>34</v>
      </c>
      <c r="B106" s="4">
        <v>500000</v>
      </c>
      <c r="C106" s="4">
        <v>7</v>
      </c>
      <c r="D106" s="4">
        <v>0</v>
      </c>
      <c r="E106" s="4">
        <v>1</v>
      </c>
      <c r="F106" s="4">
        <v>0</v>
      </c>
      <c r="G106" s="4">
        <v>0</v>
      </c>
      <c r="H106" s="4">
        <v>0</v>
      </c>
      <c r="I106" s="4" t="s">
        <v>1</v>
      </c>
      <c r="K1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0.20103774365272042</v>
      </c>
    </row>
    <row r="107" spans="1:11" x14ac:dyDescent="0.3">
      <c r="A107" s="4">
        <v>28</v>
      </c>
      <c r="B107" s="4">
        <v>750000</v>
      </c>
      <c r="C107" s="4">
        <v>4</v>
      </c>
      <c r="D107" s="4">
        <v>0</v>
      </c>
      <c r="E107" s="4">
        <v>1</v>
      </c>
      <c r="F107" s="4">
        <v>0</v>
      </c>
      <c r="G107" s="4">
        <v>0</v>
      </c>
      <c r="H107" s="4">
        <v>0</v>
      </c>
      <c r="I107" s="4" t="s">
        <v>1</v>
      </c>
      <c r="K1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0.1440131588235255</v>
      </c>
    </row>
    <row r="108" spans="1:11" x14ac:dyDescent="0.3">
      <c r="A108" s="4">
        <v>32</v>
      </c>
      <c r="B108" s="4">
        <v>900000</v>
      </c>
      <c r="C108" s="4">
        <v>4</v>
      </c>
      <c r="D108" s="4">
        <v>1</v>
      </c>
      <c r="E108" s="4">
        <v>1</v>
      </c>
      <c r="F108" s="4">
        <v>1</v>
      </c>
      <c r="G108" s="4">
        <v>0</v>
      </c>
      <c r="H108" s="4">
        <v>0</v>
      </c>
      <c r="I108" s="4" t="s">
        <v>1</v>
      </c>
      <c r="K1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0.23846303601208177</v>
      </c>
    </row>
    <row r="109" spans="1:11" x14ac:dyDescent="0.3">
      <c r="A109" s="4">
        <v>35</v>
      </c>
      <c r="B109" s="4">
        <v>800000</v>
      </c>
      <c r="C109" s="4">
        <v>7</v>
      </c>
      <c r="D109" s="4">
        <v>0</v>
      </c>
      <c r="E109" s="4">
        <v>0</v>
      </c>
      <c r="F109" s="4">
        <v>0</v>
      </c>
      <c r="G109" s="4">
        <v>0</v>
      </c>
      <c r="H109" s="4">
        <v>0</v>
      </c>
      <c r="I109" s="4" t="s">
        <v>1</v>
      </c>
      <c r="K1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0.38734073257248897</v>
      </c>
    </row>
    <row r="110" spans="1:11" x14ac:dyDescent="0.3">
      <c r="A110" s="4">
        <v>28</v>
      </c>
      <c r="B110" s="4">
        <v>750000</v>
      </c>
      <c r="C110" s="4">
        <v>6</v>
      </c>
      <c r="D110" s="4">
        <v>0</v>
      </c>
      <c r="E110" s="4">
        <v>1</v>
      </c>
      <c r="F110" s="4">
        <v>0</v>
      </c>
      <c r="G110" s="4">
        <v>1</v>
      </c>
      <c r="H110" s="4">
        <v>0</v>
      </c>
      <c r="I110" s="4" t="s">
        <v>1</v>
      </c>
      <c r="K1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0.26973146275343568</v>
      </c>
    </row>
    <row r="111" spans="1:11" x14ac:dyDescent="0.3">
      <c r="A111" s="4">
        <v>28</v>
      </c>
      <c r="B111" s="4">
        <v>1150000</v>
      </c>
      <c r="C111" s="4">
        <v>6</v>
      </c>
      <c r="D111" s="4">
        <v>0</v>
      </c>
      <c r="E111" s="4">
        <v>1</v>
      </c>
      <c r="F111" s="4">
        <v>0</v>
      </c>
      <c r="G111" s="4">
        <v>0</v>
      </c>
      <c r="H111" s="4">
        <v>0</v>
      </c>
      <c r="I111" s="4" t="s">
        <v>1</v>
      </c>
      <c r="K1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0.30099240087790252</v>
      </c>
    </row>
    <row r="112" spans="1:11" x14ac:dyDescent="0.3">
      <c r="A112" s="4">
        <v>26</v>
      </c>
      <c r="B112" s="4">
        <v>500000</v>
      </c>
      <c r="C112" s="4">
        <v>7</v>
      </c>
      <c r="D112" s="4">
        <v>1</v>
      </c>
      <c r="E112" s="4">
        <v>1</v>
      </c>
      <c r="F112" s="4">
        <v>1</v>
      </c>
      <c r="G112" s="4">
        <v>0</v>
      </c>
      <c r="H112" s="4">
        <v>0</v>
      </c>
      <c r="I112" s="4" t="s">
        <v>1</v>
      </c>
      <c r="K1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8.6054837175359444E-2</v>
      </c>
    </row>
    <row r="113" spans="1:11" x14ac:dyDescent="0.3">
      <c r="A113" s="4">
        <v>32</v>
      </c>
      <c r="B113" s="4">
        <v>350000</v>
      </c>
      <c r="C113" s="4">
        <v>3</v>
      </c>
      <c r="D113" s="4">
        <v>1</v>
      </c>
      <c r="E113" s="4">
        <v>1</v>
      </c>
      <c r="F113" s="4">
        <v>0</v>
      </c>
      <c r="G113" s="4">
        <v>0</v>
      </c>
      <c r="H113" s="4">
        <v>0</v>
      </c>
      <c r="I113" s="4" t="s">
        <v>1</v>
      </c>
      <c r="K1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3.7984537142851924E-2</v>
      </c>
    </row>
    <row r="114" spans="1:11" x14ac:dyDescent="0.3">
      <c r="A114" s="4">
        <v>28</v>
      </c>
      <c r="B114" s="4">
        <v>300000</v>
      </c>
      <c r="C114" s="4">
        <v>7</v>
      </c>
      <c r="D114" s="4">
        <v>1</v>
      </c>
      <c r="E114" s="4">
        <v>1</v>
      </c>
      <c r="F114" s="4">
        <v>0</v>
      </c>
      <c r="G114" s="4">
        <v>0</v>
      </c>
      <c r="H114" s="4">
        <v>0</v>
      </c>
      <c r="I114" s="4" t="s">
        <v>1</v>
      </c>
      <c r="K1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3.7236378694574038E-2</v>
      </c>
    </row>
    <row r="115" spans="1:11" x14ac:dyDescent="0.3">
      <c r="A115" s="4">
        <v>28</v>
      </c>
      <c r="B115" s="4">
        <v>300000</v>
      </c>
      <c r="C115" s="4">
        <v>4</v>
      </c>
      <c r="D115" s="4">
        <v>1</v>
      </c>
      <c r="E115" s="4">
        <v>1</v>
      </c>
      <c r="F115" s="4">
        <v>0</v>
      </c>
      <c r="G115" s="4">
        <v>0</v>
      </c>
      <c r="H115" s="4">
        <v>0</v>
      </c>
      <c r="I115" s="4" t="s">
        <v>1</v>
      </c>
      <c r="K1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-1.4560698385696874E-2</v>
      </c>
    </row>
    <row r="116" spans="1:11" x14ac:dyDescent="0.3">
      <c r="A116" s="4">
        <v>34</v>
      </c>
      <c r="B116" s="4">
        <v>1300000</v>
      </c>
      <c r="C116" s="4">
        <v>5</v>
      </c>
      <c r="D116" s="4">
        <v>1</v>
      </c>
      <c r="E116" s="4">
        <v>1</v>
      </c>
      <c r="F116" s="4">
        <v>1</v>
      </c>
      <c r="G116" s="4">
        <v>0</v>
      </c>
      <c r="H116" s="4">
        <v>0</v>
      </c>
      <c r="I116" s="4" t="s">
        <v>1</v>
      </c>
      <c r="K1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0.40542905856730066</v>
      </c>
    </row>
    <row r="117" spans="1:11" x14ac:dyDescent="0.3">
      <c r="A117" s="4">
        <v>31</v>
      </c>
      <c r="B117" s="4">
        <v>1200000</v>
      </c>
      <c r="C117" s="4">
        <v>3</v>
      </c>
      <c r="D117" s="4">
        <v>1</v>
      </c>
      <c r="E117" s="4">
        <v>1</v>
      </c>
      <c r="F117" s="4">
        <v>0</v>
      </c>
      <c r="G117" s="4">
        <v>0</v>
      </c>
      <c r="H117" s="4">
        <v>0</v>
      </c>
      <c r="I117" s="4" t="s">
        <v>1</v>
      </c>
      <c r="K1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0.28455999754755312</v>
      </c>
    </row>
    <row r="118" spans="1:11" x14ac:dyDescent="0.3">
      <c r="A118" s="4">
        <v>31</v>
      </c>
      <c r="B118" s="4">
        <v>1200000</v>
      </c>
      <c r="C118" s="4">
        <v>6</v>
      </c>
      <c r="D118" s="4">
        <v>1</v>
      </c>
      <c r="E118" s="4">
        <v>1</v>
      </c>
      <c r="F118" s="4">
        <v>0</v>
      </c>
      <c r="G118" s="4">
        <v>0</v>
      </c>
      <c r="H118" s="4">
        <v>0</v>
      </c>
      <c r="I118" s="4" t="s">
        <v>1</v>
      </c>
      <c r="K1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0.33635707462782405</v>
      </c>
    </row>
    <row r="119" spans="1:11" x14ac:dyDescent="0.3">
      <c r="A119" s="4">
        <v>31</v>
      </c>
      <c r="B119" s="4">
        <v>500000</v>
      </c>
      <c r="C119" s="4">
        <v>4</v>
      </c>
      <c r="D119" s="4">
        <v>0</v>
      </c>
      <c r="E119" s="4">
        <v>1</v>
      </c>
      <c r="F119" s="4">
        <v>1</v>
      </c>
      <c r="G119" s="4">
        <v>0</v>
      </c>
      <c r="H119" s="4">
        <v>0</v>
      </c>
      <c r="I119" s="4" t="s">
        <v>1</v>
      </c>
      <c r="K1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0.12320895995567063</v>
      </c>
    </row>
    <row r="120" spans="1:11" x14ac:dyDescent="0.3">
      <c r="A120" s="4">
        <v>30</v>
      </c>
      <c r="B120" s="4">
        <v>550000</v>
      </c>
      <c r="C120" s="4">
        <v>5</v>
      </c>
      <c r="D120" s="4">
        <v>0</v>
      </c>
      <c r="E120" s="4">
        <v>0</v>
      </c>
      <c r="F120" s="4">
        <v>1</v>
      </c>
      <c r="G120" s="4">
        <v>0</v>
      </c>
      <c r="H120" s="4">
        <v>0</v>
      </c>
      <c r="I120" s="4" t="s">
        <v>1</v>
      </c>
      <c r="K1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0.22299525754072438</v>
      </c>
    </row>
    <row r="121" spans="1:11" x14ac:dyDescent="0.3">
      <c r="A121" s="4">
        <v>29</v>
      </c>
      <c r="B121" s="4">
        <v>1050000</v>
      </c>
      <c r="C121" s="4">
        <v>7</v>
      </c>
      <c r="D121" s="4">
        <v>0</v>
      </c>
      <c r="E121" s="4">
        <v>1</v>
      </c>
      <c r="F121" s="4">
        <v>1</v>
      </c>
      <c r="G121" s="4">
        <v>0</v>
      </c>
      <c r="H121" s="4">
        <v>0</v>
      </c>
      <c r="I121" s="4" t="s">
        <v>1</v>
      </c>
      <c r="K1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0.31611936800952928</v>
      </c>
    </row>
    <row r="122" spans="1:11" x14ac:dyDescent="0.3">
      <c r="A122" s="4">
        <v>27</v>
      </c>
      <c r="B122" s="4">
        <v>350000</v>
      </c>
      <c r="C122" s="4">
        <v>4</v>
      </c>
      <c r="D122" s="4">
        <v>0</v>
      </c>
      <c r="E122" s="4">
        <v>0</v>
      </c>
      <c r="F122" s="4">
        <v>1</v>
      </c>
      <c r="G122" s="4">
        <v>0</v>
      </c>
      <c r="H122" s="4">
        <v>0</v>
      </c>
      <c r="I122" s="4" t="s">
        <v>1</v>
      </c>
      <c r="K1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0.10362692722213748</v>
      </c>
    </row>
    <row r="123" spans="1:11" x14ac:dyDescent="0.3">
      <c r="A123" s="4">
        <v>29</v>
      </c>
      <c r="B123" s="4">
        <v>1050000</v>
      </c>
      <c r="C123" s="4">
        <v>3</v>
      </c>
      <c r="D123" s="4">
        <v>0</v>
      </c>
      <c r="E123" s="4">
        <v>1</v>
      </c>
      <c r="F123" s="4">
        <v>1</v>
      </c>
      <c r="G123" s="4">
        <v>1</v>
      </c>
      <c r="H123" s="4">
        <v>0</v>
      </c>
      <c r="I123" s="4" t="s">
        <v>1</v>
      </c>
      <c r="K1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0.33824351777889761</v>
      </c>
    </row>
    <row r="124" spans="1:11" x14ac:dyDescent="0.3">
      <c r="A124" s="4">
        <v>30</v>
      </c>
      <c r="B124" s="4">
        <v>550000</v>
      </c>
      <c r="C124" s="4">
        <v>5</v>
      </c>
      <c r="D124" s="4">
        <v>0</v>
      </c>
      <c r="E124" s="4">
        <v>0</v>
      </c>
      <c r="F124" s="4">
        <v>0</v>
      </c>
      <c r="G124" s="4">
        <v>0</v>
      </c>
      <c r="H124" s="4">
        <v>0</v>
      </c>
      <c r="I124" s="4" t="s">
        <v>1</v>
      </c>
      <c r="K1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0.20814825486610494</v>
      </c>
    </row>
    <row r="125" spans="1:11" x14ac:dyDescent="0.3">
      <c r="A125" s="4">
        <v>27</v>
      </c>
      <c r="B125" s="4">
        <v>1050000</v>
      </c>
      <c r="C125" s="4">
        <v>3</v>
      </c>
      <c r="D125" s="4">
        <v>1</v>
      </c>
      <c r="E125" s="4">
        <v>1</v>
      </c>
      <c r="F125" s="4">
        <v>0</v>
      </c>
      <c r="G125" s="4">
        <v>1</v>
      </c>
      <c r="H125" s="4">
        <v>0</v>
      </c>
      <c r="I125" s="4" t="s">
        <v>1</v>
      </c>
      <c r="K1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0.27532402453509452</v>
      </c>
    </row>
    <row r="126" spans="1:11" x14ac:dyDescent="0.3">
      <c r="A126" s="4">
        <v>34</v>
      </c>
      <c r="B126" s="4">
        <v>1500000</v>
      </c>
      <c r="C126" s="4">
        <v>6</v>
      </c>
      <c r="D126" s="4">
        <v>0</v>
      </c>
      <c r="E126" s="4">
        <v>1</v>
      </c>
      <c r="F126" s="4">
        <v>0</v>
      </c>
      <c r="G126" s="4">
        <v>1</v>
      </c>
      <c r="H126" s="4">
        <v>1</v>
      </c>
      <c r="I126" s="4" t="s">
        <v>1</v>
      </c>
      <c r="K1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0.93147036506606051</v>
      </c>
    </row>
    <row r="127" spans="1:11" x14ac:dyDescent="0.3">
      <c r="A127" s="4">
        <v>30</v>
      </c>
      <c r="B127" s="4">
        <v>1450000</v>
      </c>
      <c r="C127" s="4">
        <v>5</v>
      </c>
      <c r="D127" s="4">
        <v>0</v>
      </c>
      <c r="E127" s="4">
        <v>0</v>
      </c>
      <c r="F127" s="4">
        <v>1</v>
      </c>
      <c r="G127" s="4">
        <v>1</v>
      </c>
      <c r="H127" s="4">
        <v>1</v>
      </c>
      <c r="I127" s="4" t="s">
        <v>1</v>
      </c>
      <c r="K1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0.94008160698060572</v>
      </c>
    </row>
    <row r="128" spans="1:11" x14ac:dyDescent="0.3">
      <c r="A128" s="4">
        <v>29</v>
      </c>
      <c r="B128" s="4">
        <v>600000</v>
      </c>
      <c r="C128" s="4">
        <v>4</v>
      </c>
      <c r="D128" s="4">
        <v>0</v>
      </c>
      <c r="E128" s="4">
        <v>1</v>
      </c>
      <c r="F128" s="4">
        <v>1</v>
      </c>
      <c r="G128" s="4">
        <v>0</v>
      </c>
      <c r="H128" s="4">
        <v>0</v>
      </c>
      <c r="I128" s="4" t="s">
        <v>1</v>
      </c>
      <c r="K1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0.12656845142828743</v>
      </c>
    </row>
    <row r="129" spans="1:11" x14ac:dyDescent="0.3">
      <c r="A129" s="4">
        <v>26</v>
      </c>
      <c r="B129" s="4">
        <v>450000</v>
      </c>
      <c r="C129" s="4">
        <v>3</v>
      </c>
      <c r="D129" s="4">
        <v>0</v>
      </c>
      <c r="E129" s="4">
        <v>1</v>
      </c>
      <c r="F129" s="4">
        <v>0</v>
      </c>
      <c r="G129" s="4">
        <v>0</v>
      </c>
      <c r="H129" s="4">
        <v>0</v>
      </c>
      <c r="I129" s="4" t="s">
        <v>1</v>
      </c>
      <c r="K1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7.6591006018556923E-3</v>
      </c>
    </row>
    <row r="130" spans="1:11" x14ac:dyDescent="0.3">
      <c r="A130" s="4">
        <v>33</v>
      </c>
      <c r="B130" s="4">
        <v>1000000</v>
      </c>
      <c r="C130" s="4">
        <v>4</v>
      </c>
      <c r="D130" s="4">
        <v>1</v>
      </c>
      <c r="E130" s="4">
        <v>1</v>
      </c>
      <c r="F130" s="4">
        <v>1</v>
      </c>
      <c r="G130" s="4">
        <v>0</v>
      </c>
      <c r="H130" s="4">
        <v>0</v>
      </c>
      <c r="I130" s="4" t="s">
        <v>1</v>
      </c>
      <c r="K1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0.28270123677609699</v>
      </c>
    </row>
    <row r="131" spans="1:11" x14ac:dyDescent="0.3">
      <c r="A131" s="4">
        <v>30</v>
      </c>
      <c r="B131" s="4">
        <v>550000</v>
      </c>
      <c r="C131" s="4">
        <v>3</v>
      </c>
      <c r="D131" s="4">
        <v>0</v>
      </c>
      <c r="E131" s="4">
        <v>0</v>
      </c>
      <c r="F131" s="4">
        <v>0</v>
      </c>
      <c r="G131" s="4">
        <v>0</v>
      </c>
      <c r="H131" s="4">
        <v>0</v>
      </c>
      <c r="I131" s="4" t="s">
        <v>1</v>
      </c>
      <c r="K1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0.17361687014592436</v>
      </c>
    </row>
    <row r="132" spans="1:11" x14ac:dyDescent="0.3">
      <c r="A132" s="4">
        <v>29</v>
      </c>
      <c r="B132" s="4">
        <v>1050000</v>
      </c>
      <c r="C132" s="4">
        <v>6</v>
      </c>
      <c r="D132" s="4">
        <v>0</v>
      </c>
      <c r="E132" s="4">
        <v>1</v>
      </c>
      <c r="F132" s="4">
        <v>1</v>
      </c>
      <c r="G132" s="4">
        <v>0</v>
      </c>
      <c r="H132" s="4">
        <v>1</v>
      </c>
      <c r="I132" s="4" t="s">
        <v>1</v>
      </c>
      <c r="K1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0.64924542687764886</v>
      </c>
    </row>
    <row r="133" spans="1:11" x14ac:dyDescent="0.3">
      <c r="A133" s="4">
        <v>25</v>
      </c>
      <c r="B133" s="4">
        <v>1700000</v>
      </c>
      <c r="C133" s="4">
        <v>5</v>
      </c>
      <c r="D133" s="4">
        <v>0</v>
      </c>
      <c r="E133" s="4">
        <v>0</v>
      </c>
      <c r="F133" s="4">
        <v>1</v>
      </c>
      <c r="G133" s="4">
        <v>1</v>
      </c>
      <c r="H133" s="4">
        <v>0</v>
      </c>
      <c r="I133" s="4" t="s">
        <v>1</v>
      </c>
      <c r="K1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0.59808858443393786</v>
      </c>
    </row>
    <row r="134" spans="1:11" x14ac:dyDescent="0.3">
      <c r="A134" s="4">
        <v>34</v>
      </c>
      <c r="B134" s="4">
        <v>1050000</v>
      </c>
      <c r="C134" s="4">
        <v>4</v>
      </c>
      <c r="D134" s="4">
        <v>0</v>
      </c>
      <c r="E134" s="4">
        <v>1</v>
      </c>
      <c r="F134" s="4">
        <v>0</v>
      </c>
      <c r="G134" s="4">
        <v>0</v>
      </c>
      <c r="H134" s="4">
        <v>0</v>
      </c>
      <c r="I134" s="4" t="s">
        <v>1</v>
      </c>
      <c r="K1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0.31760647040696954</v>
      </c>
    </row>
    <row r="135" spans="1:11" x14ac:dyDescent="0.3">
      <c r="A135" s="4">
        <v>27</v>
      </c>
      <c r="B135" s="4">
        <v>500000</v>
      </c>
      <c r="C135" s="4">
        <v>4</v>
      </c>
      <c r="D135" s="4">
        <v>1</v>
      </c>
      <c r="E135" s="4">
        <v>1</v>
      </c>
      <c r="F135" s="4">
        <v>0</v>
      </c>
      <c r="G135" s="4">
        <v>0</v>
      </c>
      <c r="H135" s="4">
        <v>0</v>
      </c>
      <c r="I135" s="4" t="s">
        <v>1</v>
      </c>
      <c r="K1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3.3036993850935212E-2</v>
      </c>
    </row>
    <row r="136" spans="1:11" x14ac:dyDescent="0.3">
      <c r="A136" s="4">
        <v>28</v>
      </c>
      <c r="B136" s="4">
        <v>900000</v>
      </c>
      <c r="C136" s="4">
        <v>4</v>
      </c>
      <c r="D136" s="4">
        <v>0</v>
      </c>
      <c r="E136" s="4">
        <v>1</v>
      </c>
      <c r="F136" s="4">
        <v>0</v>
      </c>
      <c r="G136" s="4">
        <v>0</v>
      </c>
      <c r="H136" s="4">
        <v>0</v>
      </c>
      <c r="I136" s="4" t="s">
        <v>1</v>
      </c>
      <c r="K1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0.18993110532384916</v>
      </c>
    </row>
    <row r="137" spans="1:11" x14ac:dyDescent="0.3">
      <c r="A137" s="4">
        <v>28</v>
      </c>
      <c r="B137" s="4">
        <v>1150000</v>
      </c>
      <c r="C137" s="4">
        <v>4</v>
      </c>
      <c r="D137" s="4">
        <v>0</v>
      </c>
      <c r="E137" s="4">
        <v>1</v>
      </c>
      <c r="F137" s="4">
        <v>1</v>
      </c>
      <c r="G137" s="4">
        <v>0</v>
      </c>
      <c r="H137" s="4">
        <v>0</v>
      </c>
      <c r="I137" s="4" t="s">
        <v>1</v>
      </c>
      <c r="K1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0.28130801883234136</v>
      </c>
    </row>
    <row r="138" spans="1:11" x14ac:dyDescent="0.3">
      <c r="A138" s="4">
        <v>25</v>
      </c>
      <c r="B138" s="4">
        <v>1150000</v>
      </c>
      <c r="C138" s="4">
        <v>4</v>
      </c>
      <c r="D138" s="4">
        <v>0</v>
      </c>
      <c r="E138" s="4">
        <v>0</v>
      </c>
      <c r="F138" s="4">
        <v>0</v>
      </c>
      <c r="G138" s="4">
        <v>0</v>
      </c>
      <c r="H138" s="4">
        <v>0</v>
      </c>
      <c r="I138" s="4" t="s">
        <v>1</v>
      </c>
      <c r="K1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0.30642316635497857</v>
      </c>
    </row>
    <row r="139" spans="1:11" x14ac:dyDescent="0.3">
      <c r="A139" s="4">
        <v>34</v>
      </c>
      <c r="B139" s="4">
        <v>1000000</v>
      </c>
      <c r="C139" s="4">
        <v>4</v>
      </c>
      <c r="D139" s="4">
        <v>0</v>
      </c>
      <c r="E139" s="4">
        <v>1</v>
      </c>
      <c r="F139" s="4">
        <v>1</v>
      </c>
      <c r="G139" s="4">
        <v>0</v>
      </c>
      <c r="H139" s="4">
        <v>0</v>
      </c>
      <c r="I139" s="4" t="s">
        <v>1</v>
      </c>
      <c r="K1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0.31714749091481453</v>
      </c>
    </row>
    <row r="140" spans="1:11" x14ac:dyDescent="0.3">
      <c r="A140" s="4">
        <v>29</v>
      </c>
      <c r="B140" s="4">
        <v>1200000</v>
      </c>
      <c r="C140" s="4">
        <v>4</v>
      </c>
      <c r="D140" s="4">
        <v>0</v>
      </c>
      <c r="E140" s="4">
        <v>1</v>
      </c>
      <c r="F140" s="4">
        <v>0</v>
      </c>
      <c r="G140" s="4">
        <v>0</v>
      </c>
      <c r="H140" s="4">
        <v>0</v>
      </c>
      <c r="I140" s="4" t="s">
        <v>1</v>
      </c>
      <c r="K1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141" spans="1:11" x14ac:dyDescent="0.3">
      <c r="A141" s="4">
        <v>28</v>
      </c>
      <c r="B141" s="4">
        <v>1200000</v>
      </c>
      <c r="C141" s="4">
        <v>4</v>
      </c>
      <c r="D141" s="4">
        <v>0</v>
      </c>
      <c r="E141" s="4">
        <v>1</v>
      </c>
      <c r="F141" s="4">
        <v>0</v>
      </c>
      <c r="G141" s="4">
        <v>0</v>
      </c>
      <c r="H141" s="4">
        <v>0</v>
      </c>
      <c r="I141" s="4" t="s">
        <v>1</v>
      </c>
      <c r="K1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0.28176699832449648</v>
      </c>
    </row>
    <row r="142" spans="1:11" x14ac:dyDescent="0.3">
      <c r="A142" s="4">
        <v>32</v>
      </c>
      <c r="B142" s="4">
        <v>850000</v>
      </c>
      <c r="C142" s="4">
        <v>4</v>
      </c>
      <c r="D142" s="4">
        <v>1</v>
      </c>
      <c r="E142" s="4">
        <v>1</v>
      </c>
      <c r="F142" s="4">
        <v>0</v>
      </c>
      <c r="G142" s="4">
        <v>0</v>
      </c>
      <c r="H142" s="4">
        <v>0</v>
      </c>
      <c r="I142" s="4" t="s">
        <v>1</v>
      </c>
      <c r="K1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0.20831005117068774</v>
      </c>
    </row>
    <row r="143" spans="1:11" x14ac:dyDescent="0.3">
      <c r="A143" s="4">
        <v>29</v>
      </c>
      <c r="B143" s="4">
        <v>900000</v>
      </c>
      <c r="C143" s="4">
        <v>7</v>
      </c>
      <c r="D143" s="4">
        <v>0</v>
      </c>
      <c r="E143" s="4">
        <v>1</v>
      </c>
      <c r="F143" s="4">
        <v>0</v>
      </c>
      <c r="G143" s="4">
        <v>0</v>
      </c>
      <c r="H143" s="4">
        <v>0</v>
      </c>
      <c r="I143" s="4" t="s">
        <v>1</v>
      </c>
      <c r="K1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0.25535441883458621</v>
      </c>
    </row>
    <row r="144" spans="1:11" x14ac:dyDescent="0.3">
      <c r="A144" s="4">
        <v>28</v>
      </c>
      <c r="B144" s="4">
        <v>1150000</v>
      </c>
      <c r="C144" s="4">
        <v>3</v>
      </c>
      <c r="D144" s="4">
        <v>0</v>
      </c>
      <c r="E144" s="4">
        <v>1</v>
      </c>
      <c r="F144" s="4">
        <v>0</v>
      </c>
      <c r="G144" s="4">
        <v>1</v>
      </c>
      <c r="H144" s="4">
        <v>0</v>
      </c>
      <c r="I144" s="4" t="s">
        <v>1</v>
      </c>
      <c r="K1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0.3403822430073612</v>
      </c>
    </row>
    <row r="145" spans="1:11" x14ac:dyDescent="0.3">
      <c r="A145" s="4">
        <v>32</v>
      </c>
      <c r="B145" s="4">
        <v>850000</v>
      </c>
      <c r="C145" s="4">
        <v>7</v>
      </c>
      <c r="D145" s="4">
        <v>1</v>
      </c>
      <c r="E145" s="4">
        <v>1</v>
      </c>
      <c r="F145" s="4">
        <v>1</v>
      </c>
      <c r="G145" s="4">
        <v>0</v>
      </c>
      <c r="H145" s="4">
        <v>0</v>
      </c>
      <c r="I145" s="4" t="s">
        <v>1</v>
      </c>
      <c r="K1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0.27495413092557808</v>
      </c>
    </row>
    <row r="146" spans="1:11" x14ac:dyDescent="0.3">
      <c r="A146" s="4">
        <v>34</v>
      </c>
      <c r="B146" s="4">
        <v>1000000</v>
      </c>
      <c r="C146" s="4">
        <v>6</v>
      </c>
      <c r="D146" s="4">
        <v>0</v>
      </c>
      <c r="E146" s="4">
        <v>1</v>
      </c>
      <c r="F146" s="4">
        <v>1</v>
      </c>
      <c r="G146" s="4">
        <v>0</v>
      </c>
      <c r="H146" s="4">
        <v>0</v>
      </c>
      <c r="I146" s="4" t="s">
        <v>1</v>
      </c>
      <c r="K1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0.35167887563499511</v>
      </c>
    </row>
    <row r="147" spans="1:11" x14ac:dyDescent="0.3">
      <c r="A147" s="4">
        <v>26</v>
      </c>
      <c r="B147" s="4">
        <v>600000</v>
      </c>
      <c r="C147" s="4">
        <v>5</v>
      </c>
      <c r="D147" s="4">
        <v>0</v>
      </c>
      <c r="E147" s="4">
        <v>1</v>
      </c>
      <c r="F147" s="4">
        <v>0</v>
      </c>
      <c r="G147" s="4">
        <v>0</v>
      </c>
      <c r="H147" s="4">
        <v>0</v>
      </c>
      <c r="I147" s="4" t="s">
        <v>1</v>
      </c>
      <c r="K1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8.8108431822359903E-2</v>
      </c>
    </row>
    <row r="148" spans="1:11" x14ac:dyDescent="0.3">
      <c r="A148" s="4">
        <v>34</v>
      </c>
      <c r="B148" s="4">
        <v>1050000</v>
      </c>
      <c r="C148" s="4">
        <v>6</v>
      </c>
      <c r="D148" s="4">
        <v>0</v>
      </c>
      <c r="E148" s="4">
        <v>1</v>
      </c>
      <c r="F148" s="4">
        <v>0</v>
      </c>
      <c r="G148" s="4">
        <v>0</v>
      </c>
      <c r="H148" s="4">
        <v>0</v>
      </c>
      <c r="I148" s="4" t="s">
        <v>1</v>
      </c>
      <c r="K1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0.35213785512715018</v>
      </c>
    </row>
    <row r="149" spans="1:11" x14ac:dyDescent="0.3">
      <c r="A149" s="4">
        <v>27</v>
      </c>
      <c r="B149" s="4">
        <v>1050000</v>
      </c>
      <c r="C149" s="4">
        <v>6</v>
      </c>
      <c r="D149" s="4">
        <v>1</v>
      </c>
      <c r="E149" s="4">
        <v>1</v>
      </c>
      <c r="F149" s="4">
        <v>1</v>
      </c>
      <c r="G149" s="4">
        <v>0</v>
      </c>
      <c r="H149" s="4">
        <v>0</v>
      </c>
      <c r="I149" s="4" t="s">
        <v>1</v>
      </c>
      <c r="K1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0.25078118508025532</v>
      </c>
    </row>
    <row r="150" spans="1:11" x14ac:dyDescent="0.3">
      <c r="A150" s="4">
        <v>34</v>
      </c>
      <c r="B150" s="4">
        <v>1500000</v>
      </c>
      <c r="C150" s="4">
        <v>6</v>
      </c>
      <c r="D150" s="4">
        <v>0</v>
      </c>
      <c r="E150" s="4">
        <v>1</v>
      </c>
      <c r="F150" s="4">
        <v>0</v>
      </c>
      <c r="G150" s="4">
        <v>1</v>
      </c>
      <c r="H150" s="4">
        <v>1</v>
      </c>
      <c r="I150" s="4" t="s">
        <v>1</v>
      </c>
      <c r="K1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0.93147036506606051</v>
      </c>
    </row>
    <row r="151" spans="1:11" x14ac:dyDescent="0.3">
      <c r="A151" s="4">
        <v>31</v>
      </c>
      <c r="B151" s="4">
        <v>1500000</v>
      </c>
      <c r="C151" s="4">
        <v>3</v>
      </c>
      <c r="D151" s="4">
        <v>1</v>
      </c>
      <c r="E151" s="4">
        <v>1</v>
      </c>
      <c r="F151" s="4">
        <v>0</v>
      </c>
      <c r="G151" s="4">
        <v>1</v>
      </c>
      <c r="H151" s="4">
        <v>1</v>
      </c>
      <c r="I151" s="4" t="s">
        <v>1</v>
      </c>
      <c r="K1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0.81797456098613996</v>
      </c>
    </row>
    <row r="152" spans="1:11" x14ac:dyDescent="0.3">
      <c r="A152" s="4">
        <v>33</v>
      </c>
      <c r="B152" s="4">
        <v>1400000</v>
      </c>
      <c r="C152" s="4">
        <v>5</v>
      </c>
      <c r="D152" s="4">
        <v>0</v>
      </c>
      <c r="E152" s="4">
        <v>1</v>
      </c>
      <c r="F152" s="4">
        <v>1</v>
      </c>
      <c r="G152" s="4">
        <v>1</v>
      </c>
      <c r="H152" s="4">
        <v>1</v>
      </c>
      <c r="I152" s="4" t="s">
        <v>1</v>
      </c>
      <c r="K1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0.88481347461657456</v>
      </c>
    </row>
    <row r="153" spans="1:11" x14ac:dyDescent="0.3">
      <c r="A153" s="4">
        <v>35</v>
      </c>
      <c r="B153" s="4">
        <v>600000</v>
      </c>
      <c r="C153" s="4">
        <v>9</v>
      </c>
      <c r="D153" s="4">
        <v>0</v>
      </c>
      <c r="E153" s="4">
        <v>0</v>
      </c>
      <c r="F153" s="4">
        <v>0</v>
      </c>
      <c r="G153" s="4">
        <v>0</v>
      </c>
      <c r="H153" s="4">
        <v>0</v>
      </c>
      <c r="I153" s="4" t="s">
        <v>1</v>
      </c>
      <c r="K1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0.36064818862557135</v>
      </c>
    </row>
    <row r="154" spans="1:11" x14ac:dyDescent="0.3">
      <c r="A154" s="4">
        <v>28</v>
      </c>
      <c r="B154" s="4">
        <v>1450000</v>
      </c>
      <c r="C154" s="4">
        <v>4</v>
      </c>
      <c r="D154" s="4">
        <v>0</v>
      </c>
      <c r="E154" s="4">
        <v>1</v>
      </c>
      <c r="F154" s="4">
        <v>0</v>
      </c>
      <c r="G154" s="4">
        <v>1</v>
      </c>
      <c r="H154" s="4">
        <v>1</v>
      </c>
      <c r="I154" s="4" t="s">
        <v>1</v>
      </c>
      <c r="K1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0.79987557959630862</v>
      </c>
    </row>
    <row r="155" spans="1:11" x14ac:dyDescent="0.3">
      <c r="A155" s="4">
        <v>29</v>
      </c>
      <c r="B155" s="4">
        <v>1100000</v>
      </c>
      <c r="C155" s="4">
        <v>7</v>
      </c>
      <c r="D155" s="4">
        <v>0</v>
      </c>
      <c r="E155" s="4">
        <v>1</v>
      </c>
      <c r="F155" s="4">
        <v>0</v>
      </c>
      <c r="G155" s="4">
        <v>1</v>
      </c>
      <c r="H155" s="4">
        <v>0</v>
      </c>
      <c r="I155" s="4" t="s">
        <v>1</v>
      </c>
      <c r="K1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0.407765266711414</v>
      </c>
    </row>
    <row r="156" spans="1:11" x14ac:dyDescent="0.3">
      <c r="A156" s="4">
        <v>29</v>
      </c>
      <c r="B156" s="4">
        <v>1100000</v>
      </c>
      <c r="C156" s="4">
        <v>5</v>
      </c>
      <c r="D156" s="4">
        <v>0</v>
      </c>
      <c r="E156" s="4">
        <v>1</v>
      </c>
      <c r="F156" s="4">
        <v>0</v>
      </c>
      <c r="G156" s="4">
        <v>1</v>
      </c>
      <c r="H156" s="4">
        <v>0</v>
      </c>
      <c r="I156" s="4" t="s">
        <v>1</v>
      </c>
      <c r="K1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0.37323388199123336</v>
      </c>
    </row>
    <row r="157" spans="1:11" x14ac:dyDescent="0.3">
      <c r="A157" s="4">
        <v>26</v>
      </c>
      <c r="B157" s="4">
        <v>1250000</v>
      </c>
      <c r="C157" s="4">
        <v>4</v>
      </c>
      <c r="D157" s="4">
        <v>0</v>
      </c>
      <c r="E157" s="4">
        <v>1</v>
      </c>
      <c r="F157" s="4">
        <v>0</v>
      </c>
      <c r="G157" s="4">
        <v>0</v>
      </c>
      <c r="H157" s="4">
        <v>0</v>
      </c>
      <c r="I157" s="4" t="s">
        <v>1</v>
      </c>
      <c r="K1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0.26982050763033882</v>
      </c>
    </row>
    <row r="158" spans="1:11" x14ac:dyDescent="0.3">
      <c r="A158" s="4">
        <v>28</v>
      </c>
      <c r="B158" s="4">
        <v>1100000</v>
      </c>
      <c r="C158" s="4">
        <v>3</v>
      </c>
      <c r="D158" s="4">
        <v>0</v>
      </c>
      <c r="E158" s="4">
        <v>1</v>
      </c>
      <c r="F158" s="4">
        <v>0</v>
      </c>
      <c r="G158" s="4">
        <v>0</v>
      </c>
      <c r="H158" s="4">
        <v>0</v>
      </c>
      <c r="I158" s="4" t="s">
        <v>1</v>
      </c>
      <c r="K1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0.23388934163085706</v>
      </c>
    </row>
    <row r="159" spans="1:11" x14ac:dyDescent="0.3">
      <c r="A159" s="4">
        <v>34</v>
      </c>
      <c r="B159" s="4">
        <v>1500000</v>
      </c>
      <c r="C159" s="4">
        <v>3</v>
      </c>
      <c r="D159" s="4">
        <v>0</v>
      </c>
      <c r="E159" s="4">
        <v>1</v>
      </c>
      <c r="F159" s="4">
        <v>0</v>
      </c>
      <c r="G159" s="4">
        <v>1</v>
      </c>
      <c r="H159" s="4">
        <v>1</v>
      </c>
      <c r="I159" s="4" t="s">
        <v>1</v>
      </c>
      <c r="K1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0.8796732879857897</v>
      </c>
    </row>
    <row r="160" spans="1:11" x14ac:dyDescent="0.3">
      <c r="A160" s="4">
        <v>29</v>
      </c>
      <c r="B160" s="4">
        <v>1100000</v>
      </c>
      <c r="C160" s="4">
        <v>3</v>
      </c>
      <c r="D160" s="4">
        <v>0</v>
      </c>
      <c r="E160" s="4">
        <v>1</v>
      </c>
      <c r="F160" s="4">
        <v>0</v>
      </c>
      <c r="G160" s="4">
        <v>0</v>
      </c>
      <c r="H160" s="4">
        <v>0</v>
      </c>
      <c r="I160" s="4" t="s">
        <v>1</v>
      </c>
      <c r="K1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0.24751557806132318</v>
      </c>
    </row>
    <row r="161" spans="1:11" x14ac:dyDescent="0.3">
      <c r="A161" s="4">
        <v>29</v>
      </c>
      <c r="B161" s="4">
        <v>600000</v>
      </c>
      <c r="C161" s="4">
        <v>3</v>
      </c>
      <c r="D161" s="4">
        <v>0</v>
      </c>
      <c r="E161" s="4">
        <v>1</v>
      </c>
      <c r="F161" s="4">
        <v>0</v>
      </c>
      <c r="G161" s="4">
        <v>0</v>
      </c>
      <c r="H161" s="4">
        <v>0</v>
      </c>
      <c r="I161" s="4" t="s">
        <v>1</v>
      </c>
      <c r="K1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9.4455756393577686E-2</v>
      </c>
    </row>
    <row r="162" spans="1:11" x14ac:dyDescent="0.3">
      <c r="A162" s="4">
        <v>33</v>
      </c>
      <c r="B162" s="4">
        <v>1100000</v>
      </c>
      <c r="C162" s="4">
        <v>2</v>
      </c>
      <c r="D162" s="4">
        <v>1</v>
      </c>
      <c r="E162" s="4">
        <v>1</v>
      </c>
      <c r="F162" s="4">
        <v>0</v>
      </c>
      <c r="G162" s="4">
        <v>0</v>
      </c>
      <c r="H162" s="4">
        <v>0</v>
      </c>
      <c r="I162" s="4" t="s">
        <v>1</v>
      </c>
      <c r="K1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0.26393481371484601</v>
      </c>
    </row>
    <row r="163" spans="1:11" x14ac:dyDescent="0.3">
      <c r="A163" s="4">
        <v>28</v>
      </c>
      <c r="B163" s="4">
        <v>750000</v>
      </c>
      <c r="C163" s="4">
        <v>3</v>
      </c>
      <c r="D163" s="4">
        <v>0</v>
      </c>
      <c r="E163" s="4">
        <v>1</v>
      </c>
      <c r="F163" s="4">
        <v>1</v>
      </c>
      <c r="G163" s="4">
        <v>0</v>
      </c>
      <c r="H163" s="4">
        <v>0</v>
      </c>
      <c r="I163" s="4" t="s">
        <v>1</v>
      </c>
      <c r="K1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0.14159446913805465</v>
      </c>
    </row>
    <row r="164" spans="1:11" x14ac:dyDescent="0.3">
      <c r="A164" s="4">
        <v>28</v>
      </c>
      <c r="B164" s="4">
        <v>700000</v>
      </c>
      <c r="C164" s="4">
        <v>4</v>
      </c>
      <c r="D164" s="4">
        <v>0</v>
      </c>
      <c r="E164" s="4">
        <v>1</v>
      </c>
      <c r="F164" s="4">
        <v>0</v>
      </c>
      <c r="G164" s="4">
        <v>0</v>
      </c>
      <c r="H164" s="4">
        <v>0</v>
      </c>
      <c r="I164" s="4" t="s">
        <v>1</v>
      </c>
      <c r="K1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0.12870717665675097</v>
      </c>
    </row>
    <row r="165" spans="1:11" x14ac:dyDescent="0.3">
      <c r="A165" s="4">
        <v>29</v>
      </c>
      <c r="B165" s="4">
        <v>1050000</v>
      </c>
      <c r="C165" s="4">
        <v>4</v>
      </c>
      <c r="D165" s="4">
        <v>0</v>
      </c>
      <c r="E165" s="4">
        <v>1</v>
      </c>
      <c r="F165" s="4">
        <v>0</v>
      </c>
      <c r="G165" s="4">
        <v>0</v>
      </c>
      <c r="H165" s="4">
        <v>0</v>
      </c>
      <c r="I165" s="4" t="s">
        <v>1</v>
      </c>
      <c r="K1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0.24947528825463894</v>
      </c>
    </row>
    <row r="166" spans="1:11" x14ac:dyDescent="0.3">
      <c r="A166" s="4">
        <v>35</v>
      </c>
      <c r="B166" s="4">
        <v>900000</v>
      </c>
      <c r="C166" s="4">
        <v>6</v>
      </c>
      <c r="D166" s="4">
        <v>1</v>
      </c>
      <c r="E166" s="4">
        <v>1</v>
      </c>
      <c r="F166" s="4">
        <v>1</v>
      </c>
      <c r="G166" s="4">
        <v>0</v>
      </c>
      <c r="H166" s="4">
        <v>0</v>
      </c>
      <c r="I166" s="4" t="s">
        <v>1</v>
      </c>
      <c r="K1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0.3138731300236608</v>
      </c>
    </row>
    <row r="167" spans="1:11" x14ac:dyDescent="0.3">
      <c r="A167" s="4">
        <v>34</v>
      </c>
      <c r="B167" s="4">
        <v>1300000</v>
      </c>
      <c r="C167" s="4">
        <v>4</v>
      </c>
      <c r="D167" s="4">
        <v>1</v>
      </c>
      <c r="E167" s="4">
        <v>1</v>
      </c>
      <c r="F167" s="4">
        <v>0</v>
      </c>
      <c r="G167" s="4">
        <v>0</v>
      </c>
      <c r="H167" s="4">
        <v>0</v>
      </c>
      <c r="I167" s="4" t="s">
        <v>1</v>
      </c>
      <c r="K1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0.37331636353259096</v>
      </c>
    </row>
    <row r="168" spans="1:11" x14ac:dyDescent="0.3">
      <c r="A168" s="4">
        <v>32</v>
      </c>
      <c r="B168" s="4">
        <v>850000</v>
      </c>
      <c r="C168" s="4">
        <v>4</v>
      </c>
      <c r="D168" s="4">
        <v>1</v>
      </c>
      <c r="E168" s="4">
        <v>1</v>
      </c>
      <c r="F168" s="4">
        <v>0</v>
      </c>
      <c r="G168" s="4">
        <v>1</v>
      </c>
      <c r="H168" s="4">
        <v>0</v>
      </c>
      <c r="I168" s="4" t="s">
        <v>1</v>
      </c>
      <c r="K1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0.29949697038041734</v>
      </c>
    </row>
    <row r="169" spans="1:11" x14ac:dyDescent="0.3">
      <c r="A169" s="4">
        <v>28</v>
      </c>
      <c r="B169" s="4">
        <v>500000</v>
      </c>
      <c r="C169" s="4">
        <v>5</v>
      </c>
      <c r="D169" s="4">
        <v>0</v>
      </c>
      <c r="E169" s="4">
        <v>1</v>
      </c>
      <c r="F169" s="4">
        <v>0</v>
      </c>
      <c r="G169" s="4">
        <v>0</v>
      </c>
      <c r="H169" s="4">
        <v>0</v>
      </c>
      <c r="I169" s="4" t="s">
        <v>1</v>
      </c>
      <c r="K1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8.4748940349743049E-2</v>
      </c>
    </row>
    <row r="170" spans="1:11" x14ac:dyDescent="0.3">
      <c r="A170" s="4">
        <v>27</v>
      </c>
      <c r="B170" s="4">
        <v>500000</v>
      </c>
      <c r="C170" s="4">
        <v>3</v>
      </c>
      <c r="D170" s="4">
        <v>1</v>
      </c>
      <c r="E170" s="4">
        <v>1</v>
      </c>
      <c r="F170" s="4">
        <v>1</v>
      </c>
      <c r="G170" s="4">
        <v>0</v>
      </c>
      <c r="H170" s="4">
        <v>0</v>
      </c>
      <c r="I170" s="4" t="s">
        <v>1</v>
      </c>
      <c r="K1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3.061830416546437E-2</v>
      </c>
    </row>
    <row r="171" spans="1:11" x14ac:dyDescent="0.3">
      <c r="A171" s="4">
        <v>31</v>
      </c>
      <c r="B171" s="4">
        <v>400000</v>
      </c>
      <c r="C171" s="4">
        <v>6</v>
      </c>
      <c r="D171" s="4">
        <v>1</v>
      </c>
      <c r="E171" s="4">
        <v>1</v>
      </c>
      <c r="F171" s="4">
        <v>1</v>
      </c>
      <c r="G171" s="4">
        <v>0</v>
      </c>
      <c r="H171" s="4">
        <v>0</v>
      </c>
      <c r="I171" s="4" t="s">
        <v>1</v>
      </c>
      <c r="K1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0.10630836263405069</v>
      </c>
    </row>
    <row r="172" spans="1:11" x14ac:dyDescent="0.3">
      <c r="A172" s="4">
        <v>32</v>
      </c>
      <c r="B172" s="4">
        <v>850000</v>
      </c>
      <c r="C172" s="4">
        <v>3</v>
      </c>
      <c r="D172" s="4">
        <v>1</v>
      </c>
      <c r="E172" s="4">
        <v>1</v>
      </c>
      <c r="F172" s="4">
        <v>1</v>
      </c>
      <c r="G172" s="4">
        <v>0</v>
      </c>
      <c r="H172" s="4">
        <v>0</v>
      </c>
      <c r="I172" s="4" t="s">
        <v>1</v>
      </c>
      <c r="K1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0.20589136148521683</v>
      </c>
    </row>
    <row r="173" spans="1:11" x14ac:dyDescent="0.3">
      <c r="A173" s="4">
        <v>26</v>
      </c>
      <c r="B173" s="4">
        <v>500000</v>
      </c>
      <c r="C173" s="4">
        <v>6</v>
      </c>
      <c r="D173" s="4">
        <v>0</v>
      </c>
      <c r="E173" s="4">
        <v>1</v>
      </c>
      <c r="F173" s="4">
        <v>0</v>
      </c>
      <c r="G173" s="4">
        <v>0</v>
      </c>
      <c r="H173" s="4">
        <v>0</v>
      </c>
      <c r="I173" s="4" t="s">
        <v>1</v>
      </c>
      <c r="K1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7.4762159848901125E-2</v>
      </c>
    </row>
    <row r="174" spans="1:11" x14ac:dyDescent="0.3">
      <c r="A174" s="4">
        <v>34</v>
      </c>
      <c r="B174" s="4">
        <v>700000</v>
      </c>
      <c r="C174" s="4">
        <v>7</v>
      </c>
      <c r="D174" s="4">
        <v>0</v>
      </c>
      <c r="E174" s="4">
        <v>1</v>
      </c>
      <c r="F174" s="4">
        <v>0</v>
      </c>
      <c r="G174" s="4">
        <v>0</v>
      </c>
      <c r="H174" s="4">
        <v>0</v>
      </c>
      <c r="I174" s="4" t="s">
        <v>1</v>
      </c>
      <c r="K1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0.26226167231981867</v>
      </c>
    </row>
    <row r="175" spans="1:11" x14ac:dyDescent="0.3">
      <c r="A175" s="4">
        <v>28</v>
      </c>
      <c r="B175" s="4">
        <v>600000</v>
      </c>
      <c r="C175" s="4">
        <v>3</v>
      </c>
      <c r="D175" s="4">
        <v>1</v>
      </c>
      <c r="E175" s="4">
        <v>1</v>
      </c>
      <c r="F175" s="4">
        <v>0</v>
      </c>
      <c r="G175" s="4">
        <v>0</v>
      </c>
      <c r="H175" s="4">
        <v>0</v>
      </c>
      <c r="I175" s="4" t="s">
        <v>1</v>
      </c>
      <c r="K1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6.0009502254860139E-2</v>
      </c>
    </row>
    <row r="176" spans="1:11" x14ac:dyDescent="0.3">
      <c r="A176" s="4">
        <v>27</v>
      </c>
      <c r="B176" s="4">
        <v>1050000</v>
      </c>
      <c r="C176" s="4">
        <v>5</v>
      </c>
      <c r="D176" s="4">
        <v>1</v>
      </c>
      <c r="E176" s="4">
        <v>1</v>
      </c>
      <c r="F176" s="4">
        <v>0</v>
      </c>
      <c r="G176" s="4">
        <v>1</v>
      </c>
      <c r="H176" s="4">
        <v>0</v>
      </c>
      <c r="I176" s="4" t="s">
        <v>1</v>
      </c>
      <c r="K1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0.3098554092552751</v>
      </c>
    </row>
    <row r="177" spans="1:11" x14ac:dyDescent="0.3">
      <c r="A177" s="4">
        <v>28</v>
      </c>
      <c r="B177" s="4">
        <v>800000</v>
      </c>
      <c r="C177" s="4">
        <v>4</v>
      </c>
      <c r="D177" s="4">
        <v>0</v>
      </c>
      <c r="E177" s="4">
        <v>1</v>
      </c>
      <c r="F177" s="4">
        <v>0</v>
      </c>
      <c r="G177" s="4">
        <v>0</v>
      </c>
      <c r="H177" s="4">
        <v>0</v>
      </c>
      <c r="I177" s="4" t="s">
        <v>1</v>
      </c>
      <c r="K1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0.15931914099030009</v>
      </c>
    </row>
    <row r="178" spans="1:11" x14ac:dyDescent="0.3">
      <c r="A178" s="4">
        <v>34</v>
      </c>
      <c r="B178" s="4">
        <v>1000000</v>
      </c>
      <c r="C178" s="4">
        <v>4</v>
      </c>
      <c r="D178" s="4">
        <v>0</v>
      </c>
      <c r="E178" s="4">
        <v>1</v>
      </c>
      <c r="F178" s="4">
        <v>1</v>
      </c>
      <c r="G178" s="4">
        <v>0</v>
      </c>
      <c r="H178" s="4">
        <v>0</v>
      </c>
      <c r="I178" s="4" t="s">
        <v>1</v>
      </c>
      <c r="K1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0.31714749091481453</v>
      </c>
    </row>
    <row r="179" spans="1:11" x14ac:dyDescent="0.3">
      <c r="A179" s="4">
        <v>30</v>
      </c>
      <c r="B179" s="4">
        <v>1450000</v>
      </c>
      <c r="C179" s="4">
        <v>3</v>
      </c>
      <c r="D179" s="4">
        <v>0</v>
      </c>
      <c r="E179" s="4">
        <v>0</v>
      </c>
      <c r="F179" s="4">
        <v>1</v>
      </c>
      <c r="G179" s="4">
        <v>1</v>
      </c>
      <c r="H179" s="4">
        <v>1</v>
      </c>
      <c r="I179" s="4" t="s">
        <v>1</v>
      </c>
      <c r="K1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0.90555022226042514</v>
      </c>
    </row>
    <row r="180" spans="1:11" x14ac:dyDescent="0.3">
      <c r="A180" s="4">
        <v>28</v>
      </c>
      <c r="B180" s="4">
        <v>300000</v>
      </c>
      <c r="C180" s="4">
        <v>3</v>
      </c>
      <c r="D180" s="4">
        <v>1</v>
      </c>
      <c r="E180" s="4">
        <v>1</v>
      </c>
      <c r="F180" s="4">
        <v>1</v>
      </c>
      <c r="G180" s="4">
        <v>0</v>
      </c>
      <c r="H180" s="4">
        <v>0</v>
      </c>
      <c r="I180" s="4" t="s">
        <v>1</v>
      </c>
      <c r="K1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-1.6979388071167729E-2</v>
      </c>
    </row>
    <row r="181" spans="1:11" x14ac:dyDescent="0.3">
      <c r="A181" s="4">
        <v>29</v>
      </c>
      <c r="B181" s="4">
        <v>1100000</v>
      </c>
      <c r="C181" s="4">
        <v>3</v>
      </c>
      <c r="D181" s="4">
        <v>0</v>
      </c>
      <c r="E181" s="4">
        <v>1</v>
      </c>
      <c r="F181" s="4">
        <v>0</v>
      </c>
      <c r="G181" s="4">
        <v>0</v>
      </c>
      <c r="H181" s="4">
        <v>0</v>
      </c>
      <c r="I181" s="4" t="s">
        <v>1</v>
      </c>
      <c r="K1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0.24751557806132318</v>
      </c>
    </row>
    <row r="182" spans="1:11" x14ac:dyDescent="0.3">
      <c r="A182" s="4">
        <v>26</v>
      </c>
      <c r="B182" s="4">
        <v>600000</v>
      </c>
      <c r="C182" s="4">
        <v>6</v>
      </c>
      <c r="D182" s="4">
        <v>0</v>
      </c>
      <c r="E182" s="4">
        <v>1</v>
      </c>
      <c r="F182" s="4">
        <v>0</v>
      </c>
      <c r="G182" s="4">
        <v>1</v>
      </c>
      <c r="H182" s="4">
        <v>0</v>
      </c>
      <c r="I182" s="4" t="s">
        <v>1</v>
      </c>
      <c r="K1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0.19656104339217978</v>
      </c>
    </row>
    <row r="183" spans="1:11" x14ac:dyDescent="0.3">
      <c r="A183" s="4">
        <v>31</v>
      </c>
      <c r="B183" s="4">
        <v>1350000</v>
      </c>
      <c r="C183" s="4">
        <v>5</v>
      </c>
      <c r="D183" s="4">
        <v>0</v>
      </c>
      <c r="E183" s="4">
        <v>1</v>
      </c>
      <c r="F183" s="4">
        <v>0</v>
      </c>
      <c r="G183" s="4">
        <v>0</v>
      </c>
      <c r="H183" s="4">
        <v>1</v>
      </c>
      <c r="I183" s="4" t="s">
        <v>1</v>
      </c>
      <c r="K1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0.73622109770451871</v>
      </c>
    </row>
    <row r="184" spans="1:11" x14ac:dyDescent="0.3">
      <c r="A184" s="4">
        <v>31</v>
      </c>
      <c r="B184" s="4">
        <v>1400000</v>
      </c>
      <c r="C184" s="4">
        <v>3</v>
      </c>
      <c r="D184" s="4">
        <v>0</v>
      </c>
      <c r="E184" s="4">
        <v>1</v>
      </c>
      <c r="F184" s="4">
        <v>1</v>
      </c>
      <c r="G184" s="4">
        <v>0</v>
      </c>
      <c r="H184" s="4">
        <v>1</v>
      </c>
      <c r="I184" s="4" t="s">
        <v>1</v>
      </c>
      <c r="K1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0.73184269782573219</v>
      </c>
    </row>
    <row r="185" spans="1:11" x14ac:dyDescent="0.3">
      <c r="A185" s="4">
        <v>33</v>
      </c>
      <c r="B185" s="4">
        <v>750000</v>
      </c>
      <c r="C185" s="4">
        <v>5</v>
      </c>
      <c r="D185" s="4">
        <v>0</v>
      </c>
      <c r="E185" s="4">
        <v>1</v>
      </c>
      <c r="F185" s="4">
        <v>0</v>
      </c>
      <c r="G185" s="4">
        <v>0</v>
      </c>
      <c r="H185" s="4">
        <v>0</v>
      </c>
      <c r="I185" s="4" t="s">
        <v>1</v>
      </c>
      <c r="K1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0.22941003333594645</v>
      </c>
    </row>
    <row r="186" spans="1:11" x14ac:dyDescent="0.3">
      <c r="A186" s="4">
        <v>28</v>
      </c>
      <c r="B186" s="4">
        <v>1200000</v>
      </c>
      <c r="C186" s="4">
        <v>5</v>
      </c>
      <c r="D186" s="4">
        <v>1</v>
      </c>
      <c r="E186" s="4">
        <v>1</v>
      </c>
      <c r="F186" s="4">
        <v>1</v>
      </c>
      <c r="G186" s="4">
        <v>0</v>
      </c>
      <c r="H186" s="4">
        <v>0</v>
      </c>
      <c r="I186" s="4" t="s">
        <v>1</v>
      </c>
      <c r="K1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0.29305967565095475</v>
      </c>
    </row>
    <row r="187" spans="1:11" x14ac:dyDescent="0.3">
      <c r="A187" s="4">
        <v>33</v>
      </c>
      <c r="B187" s="4">
        <v>1400000</v>
      </c>
      <c r="C187" s="4">
        <v>3</v>
      </c>
      <c r="D187" s="4">
        <v>0</v>
      </c>
      <c r="E187" s="4">
        <v>1</v>
      </c>
      <c r="F187" s="4">
        <v>0</v>
      </c>
      <c r="G187" s="4">
        <v>0</v>
      </c>
      <c r="H187" s="4">
        <v>1</v>
      </c>
      <c r="I187" s="4" t="s">
        <v>1</v>
      </c>
      <c r="K1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0.74424816801204496</v>
      </c>
    </row>
    <row r="188" spans="1:11" x14ac:dyDescent="0.3">
      <c r="A188" s="4">
        <v>35</v>
      </c>
      <c r="B188" s="4">
        <v>800000</v>
      </c>
      <c r="C188" s="4">
        <v>2</v>
      </c>
      <c r="D188" s="4">
        <v>0</v>
      </c>
      <c r="E188" s="4">
        <v>0</v>
      </c>
      <c r="F188" s="4">
        <v>0</v>
      </c>
      <c r="G188" s="4">
        <v>0</v>
      </c>
      <c r="H188" s="4">
        <v>1</v>
      </c>
      <c r="I188" s="4" t="s">
        <v>1</v>
      </c>
      <c r="K1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0.65140402200024727</v>
      </c>
    </row>
    <row r="189" spans="1:11" x14ac:dyDescent="0.3">
      <c r="A189" s="4">
        <v>25</v>
      </c>
      <c r="B189" s="4">
        <v>1700000</v>
      </c>
      <c r="C189" s="4">
        <v>5</v>
      </c>
      <c r="D189" s="4">
        <v>0</v>
      </c>
      <c r="E189" s="4">
        <v>0</v>
      </c>
      <c r="F189" s="4">
        <v>1</v>
      </c>
      <c r="G189" s="4">
        <v>1</v>
      </c>
      <c r="H189" s="4">
        <v>1</v>
      </c>
      <c r="I189" s="4" t="s">
        <v>1</v>
      </c>
      <c r="K1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0.94848033566214773</v>
      </c>
    </row>
    <row r="190" spans="1:11" x14ac:dyDescent="0.3">
      <c r="A190" s="4">
        <v>27</v>
      </c>
      <c r="B190" s="4">
        <v>1000000</v>
      </c>
      <c r="C190" s="4">
        <v>3</v>
      </c>
      <c r="D190" s="4">
        <v>0</v>
      </c>
      <c r="E190" s="4">
        <v>0</v>
      </c>
      <c r="F190" s="4">
        <v>0</v>
      </c>
      <c r="G190" s="4">
        <v>0</v>
      </c>
      <c r="H190" s="4">
        <v>0</v>
      </c>
      <c r="I190" s="4" t="s">
        <v>1</v>
      </c>
      <c r="K1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0.27049200035549686</v>
      </c>
    </row>
    <row r="191" spans="1:11" x14ac:dyDescent="0.3">
      <c r="A191" s="4">
        <v>32</v>
      </c>
      <c r="B191" s="4">
        <v>350000</v>
      </c>
      <c r="C191" s="4">
        <v>3</v>
      </c>
      <c r="D191" s="4">
        <v>1</v>
      </c>
      <c r="E191" s="4">
        <v>1</v>
      </c>
      <c r="F191" s="4">
        <v>0</v>
      </c>
      <c r="G191" s="4">
        <v>0</v>
      </c>
      <c r="H191" s="4">
        <v>0</v>
      </c>
      <c r="I191" s="4" t="s">
        <v>1</v>
      </c>
      <c r="K1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3.7984537142851924E-2</v>
      </c>
    </row>
    <row r="192" spans="1:11" x14ac:dyDescent="0.3">
      <c r="A192" s="4">
        <v>28</v>
      </c>
      <c r="B192" s="4">
        <v>550000</v>
      </c>
      <c r="C192" s="4">
        <v>4</v>
      </c>
      <c r="D192" s="4">
        <v>0</v>
      </c>
      <c r="E192" s="4">
        <v>1</v>
      </c>
      <c r="F192" s="4">
        <v>0</v>
      </c>
      <c r="G192" s="4">
        <v>0</v>
      </c>
      <c r="H192" s="4">
        <v>0</v>
      </c>
      <c r="I192" s="4" t="s">
        <v>1</v>
      </c>
      <c r="K1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8.2789230156427321E-2</v>
      </c>
    </row>
    <row r="193" spans="1:11" x14ac:dyDescent="0.3">
      <c r="A193" s="4">
        <v>29</v>
      </c>
      <c r="B193" s="4">
        <v>600000</v>
      </c>
      <c r="C193" s="4">
        <v>3</v>
      </c>
      <c r="D193" s="4">
        <v>0</v>
      </c>
      <c r="E193" s="4">
        <v>1</v>
      </c>
      <c r="F193" s="4">
        <v>1</v>
      </c>
      <c r="G193" s="4">
        <v>0</v>
      </c>
      <c r="H193" s="4">
        <v>0</v>
      </c>
      <c r="I193" s="4" t="s">
        <v>1</v>
      </c>
      <c r="K1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0.10930275906819714</v>
      </c>
    </row>
    <row r="194" spans="1:11" x14ac:dyDescent="0.3">
      <c r="A194" s="4">
        <v>28</v>
      </c>
      <c r="B194" s="4">
        <v>800000</v>
      </c>
      <c r="C194" s="4">
        <v>4</v>
      </c>
      <c r="D194" s="4">
        <v>0</v>
      </c>
      <c r="E194" s="4">
        <v>1</v>
      </c>
      <c r="F194" s="4">
        <v>1</v>
      </c>
      <c r="G194" s="4">
        <v>0</v>
      </c>
      <c r="H194" s="4">
        <v>0</v>
      </c>
      <c r="I194" s="4" t="s">
        <v>1</v>
      </c>
      <c r="K1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0.17416614366491953</v>
      </c>
    </row>
    <row r="195" spans="1:11" x14ac:dyDescent="0.3">
      <c r="A195" s="4">
        <v>26</v>
      </c>
      <c r="B195" s="4">
        <v>1400000</v>
      </c>
      <c r="C195" s="4">
        <v>3</v>
      </c>
      <c r="D195" s="4">
        <v>0</v>
      </c>
      <c r="E195" s="4">
        <v>1</v>
      </c>
      <c r="F195" s="4">
        <v>0</v>
      </c>
      <c r="G195" s="4">
        <v>0</v>
      </c>
      <c r="H195" s="4">
        <v>1</v>
      </c>
      <c r="I195" s="4" t="s">
        <v>1</v>
      </c>
      <c r="K1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0.64886451299878201</v>
      </c>
    </row>
    <row r="196" spans="1:11" x14ac:dyDescent="0.3">
      <c r="A196" s="4">
        <v>26</v>
      </c>
      <c r="B196" s="4">
        <v>600000</v>
      </c>
      <c r="C196" s="4">
        <v>4</v>
      </c>
      <c r="D196" s="4">
        <v>0</v>
      </c>
      <c r="E196" s="4">
        <v>1</v>
      </c>
      <c r="F196" s="4">
        <v>0</v>
      </c>
      <c r="G196" s="4">
        <v>0</v>
      </c>
      <c r="H196" s="4">
        <v>0</v>
      </c>
      <c r="I196" s="4" t="s">
        <v>1</v>
      </c>
      <c r="K1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7.0842739462269613E-2</v>
      </c>
    </row>
    <row r="197" spans="1:11" x14ac:dyDescent="0.3">
      <c r="A197" s="4">
        <v>29</v>
      </c>
      <c r="B197" s="4">
        <v>1050000</v>
      </c>
      <c r="C197" s="4">
        <v>4</v>
      </c>
      <c r="D197" s="4">
        <v>0</v>
      </c>
      <c r="E197" s="4">
        <v>1</v>
      </c>
      <c r="F197" s="4">
        <v>0</v>
      </c>
      <c r="G197" s="4">
        <v>0</v>
      </c>
      <c r="H197" s="4">
        <v>0</v>
      </c>
      <c r="I197" s="4" t="s">
        <v>1</v>
      </c>
      <c r="K1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0.24947528825463894</v>
      </c>
    </row>
    <row r="198" spans="1:11" x14ac:dyDescent="0.3">
      <c r="A198" s="4">
        <v>28</v>
      </c>
      <c r="B198" s="4">
        <v>750000</v>
      </c>
      <c r="C198" s="4">
        <v>6</v>
      </c>
      <c r="D198" s="4">
        <v>0</v>
      </c>
      <c r="E198" s="4">
        <v>1</v>
      </c>
      <c r="F198" s="4">
        <v>0</v>
      </c>
      <c r="G198" s="4">
        <v>1</v>
      </c>
      <c r="H198" s="4">
        <v>0</v>
      </c>
      <c r="I198" s="4" t="s">
        <v>1</v>
      </c>
      <c r="K1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0.26973146275343568</v>
      </c>
    </row>
    <row r="199" spans="1:11" x14ac:dyDescent="0.3">
      <c r="A199" s="4">
        <v>29</v>
      </c>
      <c r="B199" s="4">
        <v>1200000</v>
      </c>
      <c r="C199" s="4">
        <v>4</v>
      </c>
      <c r="D199" s="4">
        <v>0</v>
      </c>
      <c r="E199" s="4">
        <v>1</v>
      </c>
      <c r="F199" s="4">
        <v>0</v>
      </c>
      <c r="G199" s="4">
        <v>0</v>
      </c>
      <c r="H199" s="4">
        <v>0</v>
      </c>
      <c r="I199" s="4" t="s">
        <v>1</v>
      </c>
      <c r="K1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200" spans="1:11" x14ac:dyDescent="0.3">
      <c r="A200" s="4">
        <v>26</v>
      </c>
      <c r="B200" s="4">
        <v>600000</v>
      </c>
      <c r="C200" s="4">
        <v>4</v>
      </c>
      <c r="D200" s="4">
        <v>0</v>
      </c>
      <c r="E200" s="4">
        <v>1</v>
      </c>
      <c r="F200" s="4">
        <v>1</v>
      </c>
      <c r="G200" s="4">
        <v>0</v>
      </c>
      <c r="H200" s="4">
        <v>0</v>
      </c>
      <c r="I200" s="4" t="s">
        <v>1</v>
      </c>
      <c r="K2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8.5689742136889069E-2</v>
      </c>
    </row>
    <row r="201" spans="1:11" x14ac:dyDescent="0.3">
      <c r="A201" s="4">
        <v>28</v>
      </c>
      <c r="B201" s="4">
        <v>1350000</v>
      </c>
      <c r="C201" s="4">
        <v>3</v>
      </c>
      <c r="D201" s="4">
        <v>0</v>
      </c>
      <c r="E201" s="4">
        <v>1</v>
      </c>
      <c r="F201" s="4">
        <v>0</v>
      </c>
      <c r="G201" s="4">
        <v>0</v>
      </c>
      <c r="H201" s="4">
        <v>1</v>
      </c>
      <c r="I201" s="4" t="s">
        <v>1</v>
      </c>
      <c r="K2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0.66081100369293966</v>
      </c>
    </row>
    <row r="202" spans="1:11" x14ac:dyDescent="0.3">
      <c r="A202" s="4">
        <v>35</v>
      </c>
      <c r="B202" s="4">
        <v>1100000</v>
      </c>
      <c r="C202" s="4">
        <v>8</v>
      </c>
      <c r="D202" s="4">
        <v>1</v>
      </c>
      <c r="E202" s="4">
        <v>1</v>
      </c>
      <c r="F202" s="4">
        <v>0</v>
      </c>
      <c r="G202" s="4">
        <v>1</v>
      </c>
      <c r="H202" s="4">
        <v>0</v>
      </c>
      <c r="I202" s="4" t="s">
        <v>1</v>
      </c>
      <c r="K2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0.4859683599460497</v>
      </c>
    </row>
    <row r="203" spans="1:11" x14ac:dyDescent="0.3">
      <c r="A203" s="4">
        <v>32</v>
      </c>
      <c r="B203" s="4">
        <v>350000</v>
      </c>
      <c r="C203" s="4">
        <v>5</v>
      </c>
      <c r="D203" s="4">
        <v>1</v>
      </c>
      <c r="E203" s="4">
        <v>1</v>
      </c>
      <c r="F203" s="4">
        <v>0</v>
      </c>
      <c r="G203" s="4">
        <v>0</v>
      </c>
      <c r="H203" s="4">
        <v>0</v>
      </c>
      <c r="I203" s="4" t="s">
        <v>1</v>
      </c>
      <c r="K2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7.2515921863032531E-2</v>
      </c>
    </row>
    <row r="204" spans="1:11" x14ac:dyDescent="0.3">
      <c r="A204" s="4">
        <v>31</v>
      </c>
      <c r="B204" s="4">
        <v>1350000</v>
      </c>
      <c r="C204" s="4">
        <v>3</v>
      </c>
      <c r="D204" s="4">
        <v>0</v>
      </c>
      <c r="E204" s="4">
        <v>1</v>
      </c>
      <c r="F204" s="4">
        <v>0</v>
      </c>
      <c r="G204" s="4">
        <v>0</v>
      </c>
      <c r="H204" s="4">
        <v>1</v>
      </c>
      <c r="I204" s="4" t="s">
        <v>1</v>
      </c>
      <c r="K2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0.70168971298433802</v>
      </c>
    </row>
    <row r="205" spans="1:11" x14ac:dyDescent="0.3">
      <c r="A205" s="4">
        <v>28</v>
      </c>
      <c r="B205" s="4">
        <v>600000</v>
      </c>
      <c r="C205" s="4">
        <v>4</v>
      </c>
      <c r="D205" s="4">
        <v>1</v>
      </c>
      <c r="E205" s="4">
        <v>1</v>
      </c>
      <c r="F205" s="4">
        <v>0</v>
      </c>
      <c r="G205" s="4">
        <v>0</v>
      </c>
      <c r="H205" s="4">
        <v>0</v>
      </c>
      <c r="I205" s="4" t="s">
        <v>1</v>
      </c>
      <c r="K2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7.7275194614950429E-2</v>
      </c>
    </row>
    <row r="206" spans="1:11" x14ac:dyDescent="0.3">
      <c r="A206" s="4">
        <v>28</v>
      </c>
      <c r="B206" s="4">
        <v>1250000</v>
      </c>
      <c r="C206" s="4">
        <v>6</v>
      </c>
      <c r="D206" s="4">
        <v>0</v>
      </c>
      <c r="E206" s="4">
        <v>1</v>
      </c>
      <c r="F206" s="4">
        <v>1</v>
      </c>
      <c r="G206" s="4">
        <v>0</v>
      </c>
      <c r="H206" s="4">
        <v>0</v>
      </c>
      <c r="I206" s="4" t="s">
        <v>1</v>
      </c>
      <c r="K2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0.34645136788607112</v>
      </c>
    </row>
    <row r="207" spans="1:11" x14ac:dyDescent="0.3">
      <c r="A207" s="4">
        <v>35</v>
      </c>
      <c r="B207" s="4">
        <v>800000</v>
      </c>
      <c r="C207" s="4">
        <v>3</v>
      </c>
      <c r="D207" s="4">
        <v>0</v>
      </c>
      <c r="E207" s="4">
        <v>0</v>
      </c>
      <c r="F207" s="4">
        <v>1</v>
      </c>
      <c r="G207" s="4">
        <v>0</v>
      </c>
      <c r="H207" s="4">
        <v>0</v>
      </c>
      <c r="I207" s="4" t="s">
        <v>1</v>
      </c>
      <c r="K2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0.33312496580674722</v>
      </c>
    </row>
    <row r="208" spans="1:11" x14ac:dyDescent="0.3">
      <c r="A208" s="4">
        <v>33</v>
      </c>
      <c r="B208" s="4">
        <v>1400000</v>
      </c>
      <c r="C208" s="4">
        <v>3</v>
      </c>
      <c r="D208" s="4">
        <v>0</v>
      </c>
      <c r="E208" s="4">
        <v>1</v>
      </c>
      <c r="F208" s="4">
        <v>0</v>
      </c>
      <c r="G208" s="4">
        <v>0</v>
      </c>
      <c r="H208" s="4">
        <v>1</v>
      </c>
      <c r="I208" s="4" t="s">
        <v>1</v>
      </c>
      <c r="K2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0.74424816801204496</v>
      </c>
    </row>
    <row r="209" spans="1:11" x14ac:dyDescent="0.3">
      <c r="A209" s="4">
        <v>29</v>
      </c>
      <c r="B209" s="4">
        <v>1050000</v>
      </c>
      <c r="C209" s="4">
        <v>5</v>
      </c>
      <c r="D209" s="4">
        <v>0</v>
      </c>
      <c r="E209" s="4">
        <v>1</v>
      </c>
      <c r="F209" s="4">
        <v>1</v>
      </c>
      <c r="G209" s="4">
        <v>0</v>
      </c>
      <c r="H209" s="4">
        <v>0</v>
      </c>
      <c r="I209" s="4" t="s">
        <v>1</v>
      </c>
      <c r="K2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0.28158798328934864</v>
      </c>
    </row>
    <row r="210" spans="1:11" x14ac:dyDescent="0.3">
      <c r="A210" s="4">
        <v>29</v>
      </c>
      <c r="B210" s="4">
        <v>1050000</v>
      </c>
      <c r="C210" s="4">
        <v>4</v>
      </c>
      <c r="D210" s="4">
        <v>0</v>
      </c>
      <c r="E210" s="4">
        <v>1</v>
      </c>
      <c r="F210" s="4">
        <v>0</v>
      </c>
      <c r="G210" s="4">
        <v>0</v>
      </c>
      <c r="H210" s="4">
        <v>0</v>
      </c>
      <c r="I210" s="4" t="s">
        <v>1</v>
      </c>
      <c r="K2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0.24947528825463894</v>
      </c>
    </row>
    <row r="211" spans="1:11" x14ac:dyDescent="0.3">
      <c r="A211" s="4">
        <v>31</v>
      </c>
      <c r="B211" s="4">
        <v>400000</v>
      </c>
      <c r="C211" s="4">
        <v>2</v>
      </c>
      <c r="D211" s="4">
        <v>1</v>
      </c>
      <c r="E211" s="4">
        <v>1</v>
      </c>
      <c r="F211" s="4">
        <v>0</v>
      </c>
      <c r="G211" s="4">
        <v>0</v>
      </c>
      <c r="H211" s="4">
        <v>0</v>
      </c>
      <c r="I211" s="4" t="s">
        <v>1</v>
      </c>
      <c r="K2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2.2398590519070061E-2</v>
      </c>
    </row>
    <row r="212" spans="1:11" x14ac:dyDescent="0.3">
      <c r="A212" s="4">
        <v>30</v>
      </c>
      <c r="B212" s="4">
        <v>800000</v>
      </c>
      <c r="C212" s="4">
        <v>5</v>
      </c>
      <c r="D212" s="4">
        <v>0</v>
      </c>
      <c r="E212" s="4">
        <v>0</v>
      </c>
      <c r="F212" s="4">
        <v>0</v>
      </c>
      <c r="G212" s="4">
        <v>0</v>
      </c>
      <c r="H212" s="4">
        <v>0</v>
      </c>
      <c r="I212" s="4" t="s">
        <v>1</v>
      </c>
      <c r="K2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0.28467816569997773</v>
      </c>
    </row>
    <row r="213" spans="1:11" x14ac:dyDescent="0.3">
      <c r="A213" s="4">
        <v>28</v>
      </c>
      <c r="B213" s="4">
        <v>600000</v>
      </c>
      <c r="C213" s="4">
        <v>5</v>
      </c>
      <c r="D213" s="4">
        <v>0</v>
      </c>
      <c r="E213" s="4">
        <v>1</v>
      </c>
      <c r="F213" s="4">
        <v>0</v>
      </c>
      <c r="G213" s="4">
        <v>0</v>
      </c>
      <c r="H213" s="4">
        <v>1</v>
      </c>
      <c r="I213" s="4" t="s">
        <v>1</v>
      </c>
      <c r="K2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0.465752655911502</v>
      </c>
    </row>
    <row r="214" spans="1:11" x14ac:dyDescent="0.3">
      <c r="A214" s="4">
        <v>33</v>
      </c>
      <c r="B214" s="4">
        <v>600000</v>
      </c>
      <c r="C214" s="4">
        <v>4</v>
      </c>
      <c r="D214" s="4">
        <v>1</v>
      </c>
      <c r="E214" s="4">
        <v>1</v>
      </c>
      <c r="F214" s="4">
        <v>0</v>
      </c>
      <c r="G214" s="4">
        <v>0</v>
      </c>
      <c r="H214" s="4">
        <v>0</v>
      </c>
      <c r="I214" s="4" t="s">
        <v>1</v>
      </c>
      <c r="K2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0.14540637676728108</v>
      </c>
    </row>
    <row r="215" spans="1:11" x14ac:dyDescent="0.3">
      <c r="A215" s="4">
        <v>31</v>
      </c>
      <c r="B215" s="4">
        <v>1300000</v>
      </c>
      <c r="C215" s="4">
        <v>5</v>
      </c>
      <c r="D215" s="4">
        <v>1</v>
      </c>
      <c r="E215" s="4">
        <v>1</v>
      </c>
      <c r="F215" s="4">
        <v>1</v>
      </c>
      <c r="G215" s="4">
        <v>0</v>
      </c>
      <c r="H215" s="4">
        <v>0</v>
      </c>
      <c r="I215" s="4" t="s">
        <v>1</v>
      </c>
      <c r="K2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0.3645503492759023</v>
      </c>
    </row>
    <row r="216" spans="1:11" x14ac:dyDescent="0.3">
      <c r="A216" s="4">
        <v>31</v>
      </c>
      <c r="B216" s="4">
        <v>1300000</v>
      </c>
      <c r="C216" s="4">
        <v>5</v>
      </c>
      <c r="D216" s="4">
        <v>1</v>
      </c>
      <c r="E216" s="4">
        <v>1</v>
      </c>
      <c r="F216" s="4">
        <v>0</v>
      </c>
      <c r="G216" s="4">
        <v>0</v>
      </c>
      <c r="H216" s="4">
        <v>0</v>
      </c>
      <c r="I216" s="4" t="s">
        <v>1</v>
      </c>
      <c r="K2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0.34970334660128283</v>
      </c>
    </row>
    <row r="217" spans="1:11" x14ac:dyDescent="0.3">
      <c r="A217" s="4">
        <v>25</v>
      </c>
      <c r="B217" s="4">
        <v>1700000</v>
      </c>
      <c r="C217" s="4">
        <v>3</v>
      </c>
      <c r="D217" s="4">
        <v>0</v>
      </c>
      <c r="E217" s="4">
        <v>1</v>
      </c>
      <c r="F217" s="4">
        <v>0</v>
      </c>
      <c r="G217" s="4">
        <v>1</v>
      </c>
      <c r="H217" s="4">
        <v>0</v>
      </c>
      <c r="I217" s="4" t="s">
        <v>1</v>
      </c>
      <c r="K2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0.46786933755048282</v>
      </c>
    </row>
    <row r="218" spans="1:11" x14ac:dyDescent="0.3">
      <c r="A218" s="4">
        <v>29</v>
      </c>
      <c r="B218" s="4">
        <v>1050000</v>
      </c>
      <c r="C218" s="4">
        <v>3</v>
      </c>
      <c r="D218" s="4">
        <v>0</v>
      </c>
      <c r="E218" s="4">
        <v>1</v>
      </c>
      <c r="F218" s="4">
        <v>1</v>
      </c>
      <c r="G218" s="4">
        <v>1</v>
      </c>
      <c r="H218" s="4">
        <v>0</v>
      </c>
      <c r="I218" s="4" t="s">
        <v>1</v>
      </c>
      <c r="K2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0.33824351777889761</v>
      </c>
    </row>
    <row r="219" spans="1:11" x14ac:dyDescent="0.3">
      <c r="A219" s="4">
        <v>33</v>
      </c>
      <c r="B219" s="4">
        <v>700000</v>
      </c>
      <c r="C219" s="4">
        <v>2</v>
      </c>
      <c r="D219" s="4">
        <v>1</v>
      </c>
      <c r="E219" s="4">
        <v>1</v>
      </c>
      <c r="F219" s="4">
        <v>0</v>
      </c>
      <c r="G219" s="4">
        <v>0</v>
      </c>
      <c r="H219" s="4">
        <v>0</v>
      </c>
      <c r="I219" s="4" t="s">
        <v>1</v>
      </c>
      <c r="K2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0.14148695638064962</v>
      </c>
    </row>
    <row r="220" spans="1:11" x14ac:dyDescent="0.3">
      <c r="A220" s="4">
        <v>34</v>
      </c>
      <c r="B220" s="4">
        <v>500000</v>
      </c>
      <c r="C220" s="4">
        <v>7</v>
      </c>
      <c r="D220" s="4">
        <v>0</v>
      </c>
      <c r="E220" s="4">
        <v>1</v>
      </c>
      <c r="F220" s="4">
        <v>1</v>
      </c>
      <c r="G220" s="4">
        <v>0</v>
      </c>
      <c r="H220" s="4">
        <v>0</v>
      </c>
      <c r="I220" s="4" t="s">
        <v>1</v>
      </c>
      <c r="K2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0.21588474632733987</v>
      </c>
    </row>
    <row r="221" spans="1:11" x14ac:dyDescent="0.3">
      <c r="A221" s="4">
        <v>28</v>
      </c>
      <c r="B221" s="4">
        <v>600000</v>
      </c>
      <c r="C221" s="4">
        <v>4</v>
      </c>
      <c r="D221" s="4">
        <v>1</v>
      </c>
      <c r="E221" s="4">
        <v>1</v>
      </c>
      <c r="F221" s="4">
        <v>0</v>
      </c>
      <c r="G221" s="4">
        <v>0</v>
      </c>
      <c r="H221" s="4">
        <v>0</v>
      </c>
      <c r="I221" s="4" t="s">
        <v>1</v>
      </c>
      <c r="K2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7.7275194614950429E-2</v>
      </c>
    </row>
    <row r="222" spans="1:11" x14ac:dyDescent="0.3">
      <c r="A222" s="4">
        <v>28</v>
      </c>
      <c r="B222" s="4">
        <v>300000</v>
      </c>
      <c r="C222" s="4">
        <v>6</v>
      </c>
      <c r="D222" s="4">
        <v>1</v>
      </c>
      <c r="E222" s="4">
        <v>1</v>
      </c>
      <c r="F222" s="4">
        <v>0</v>
      </c>
      <c r="G222" s="4">
        <v>0</v>
      </c>
      <c r="H222" s="4">
        <v>0</v>
      </c>
      <c r="I222" s="4" t="s">
        <v>1</v>
      </c>
      <c r="K2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1.997068633448372E-2</v>
      </c>
    </row>
    <row r="223" spans="1:11" x14ac:dyDescent="0.3">
      <c r="A223" s="4">
        <v>28</v>
      </c>
      <c r="B223" s="4">
        <v>550000</v>
      </c>
      <c r="C223" s="4">
        <v>6</v>
      </c>
      <c r="D223" s="4">
        <v>0</v>
      </c>
      <c r="E223" s="4">
        <v>1</v>
      </c>
      <c r="F223" s="4">
        <v>0</v>
      </c>
      <c r="G223" s="4">
        <v>0</v>
      </c>
      <c r="H223" s="4">
        <v>1</v>
      </c>
      <c r="I223" s="4" t="s">
        <v>1</v>
      </c>
      <c r="K2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0.46771236610481776</v>
      </c>
    </row>
    <row r="224" spans="1:11" x14ac:dyDescent="0.3">
      <c r="A224" s="4">
        <v>34</v>
      </c>
      <c r="B224" s="4">
        <v>1300000</v>
      </c>
      <c r="C224" s="4">
        <v>5</v>
      </c>
      <c r="D224" s="4">
        <v>1</v>
      </c>
      <c r="E224" s="4">
        <v>1</v>
      </c>
      <c r="F224" s="4">
        <v>1</v>
      </c>
      <c r="G224" s="4">
        <v>0</v>
      </c>
      <c r="H224" s="4">
        <v>0</v>
      </c>
      <c r="I224" s="4" t="s">
        <v>1</v>
      </c>
      <c r="K2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0.40542905856730066</v>
      </c>
    </row>
    <row r="225" spans="1:11" x14ac:dyDescent="0.3">
      <c r="A225" s="4">
        <v>26</v>
      </c>
      <c r="B225" s="4">
        <v>1400000</v>
      </c>
      <c r="C225" s="4">
        <v>6</v>
      </c>
      <c r="D225" s="4">
        <v>0</v>
      </c>
      <c r="E225" s="4">
        <v>1</v>
      </c>
      <c r="F225" s="4">
        <v>0</v>
      </c>
      <c r="G225" s="4">
        <v>0</v>
      </c>
      <c r="H225" s="4">
        <v>1</v>
      </c>
      <c r="I225" s="4" t="s">
        <v>1</v>
      </c>
      <c r="K2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0.70066159007905293</v>
      </c>
    </row>
    <row r="226" spans="1:11" x14ac:dyDescent="0.3">
      <c r="A226" s="4">
        <v>34</v>
      </c>
      <c r="B226" s="4">
        <v>1300000</v>
      </c>
      <c r="C226" s="4">
        <v>3</v>
      </c>
      <c r="D226" s="4">
        <v>0</v>
      </c>
      <c r="E226" s="4">
        <v>1</v>
      </c>
      <c r="F226" s="4">
        <v>0</v>
      </c>
      <c r="G226" s="4">
        <v>0</v>
      </c>
      <c r="H226" s="4">
        <v>1</v>
      </c>
      <c r="I226" s="4" t="s">
        <v>1</v>
      </c>
      <c r="K2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0.72726244010896191</v>
      </c>
    </row>
    <row r="227" spans="1:11" x14ac:dyDescent="0.3">
      <c r="A227" s="4">
        <v>26</v>
      </c>
      <c r="B227" s="4">
        <v>1400000</v>
      </c>
      <c r="C227" s="4">
        <v>4</v>
      </c>
      <c r="D227" s="4">
        <v>0</v>
      </c>
      <c r="E227" s="4">
        <v>1</v>
      </c>
      <c r="F227" s="4">
        <v>1</v>
      </c>
      <c r="G227" s="4">
        <v>0</v>
      </c>
      <c r="H227" s="4">
        <v>1</v>
      </c>
      <c r="I227" s="4" t="s">
        <v>1</v>
      </c>
      <c r="K2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0.68097720803349182</v>
      </c>
    </row>
    <row r="228" spans="1:11" x14ac:dyDescent="0.3">
      <c r="A228" s="4">
        <v>34</v>
      </c>
      <c r="B228" s="4">
        <v>1300000</v>
      </c>
      <c r="C228" s="4">
        <v>4</v>
      </c>
      <c r="D228" s="4">
        <v>1</v>
      </c>
      <c r="E228" s="4">
        <v>1</v>
      </c>
      <c r="F228" s="4">
        <v>0</v>
      </c>
      <c r="G228" s="4">
        <v>0</v>
      </c>
      <c r="H228" s="4">
        <v>0</v>
      </c>
      <c r="I228" s="4" t="s">
        <v>1</v>
      </c>
      <c r="K2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0.37331636353259096</v>
      </c>
    </row>
    <row r="229" spans="1:11" x14ac:dyDescent="0.3">
      <c r="A229" s="4">
        <v>27</v>
      </c>
      <c r="B229" s="4">
        <v>1050000</v>
      </c>
      <c r="C229" s="4">
        <v>5</v>
      </c>
      <c r="D229" s="4">
        <v>1</v>
      </c>
      <c r="E229" s="4">
        <v>1</v>
      </c>
      <c r="F229" s="4">
        <v>0</v>
      </c>
      <c r="G229" s="4">
        <v>1</v>
      </c>
      <c r="H229" s="4">
        <v>0</v>
      </c>
      <c r="I229" s="4" t="s">
        <v>1</v>
      </c>
      <c r="K2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0.3098554092552751</v>
      </c>
    </row>
    <row r="230" spans="1:11" x14ac:dyDescent="0.3">
      <c r="A230" s="4">
        <v>31</v>
      </c>
      <c r="B230" s="4">
        <v>1400000</v>
      </c>
      <c r="C230" s="4">
        <v>6</v>
      </c>
      <c r="D230" s="4">
        <v>0</v>
      </c>
      <c r="E230" s="4">
        <v>1</v>
      </c>
      <c r="F230" s="4">
        <v>0</v>
      </c>
      <c r="G230" s="4">
        <v>1</v>
      </c>
      <c r="H230" s="4">
        <v>1</v>
      </c>
      <c r="I230" s="4" t="s">
        <v>1</v>
      </c>
      <c r="K2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0.85997969144111319</v>
      </c>
    </row>
    <row r="231" spans="1:11" x14ac:dyDescent="0.3">
      <c r="A231" s="4">
        <v>31</v>
      </c>
      <c r="B231" s="4">
        <v>1400000</v>
      </c>
      <c r="C231" s="4">
        <v>4</v>
      </c>
      <c r="D231" s="4">
        <v>0</v>
      </c>
      <c r="E231" s="4">
        <v>1</v>
      </c>
      <c r="F231" s="4">
        <v>0</v>
      </c>
      <c r="G231" s="4">
        <v>0</v>
      </c>
      <c r="H231" s="4">
        <v>1</v>
      </c>
      <c r="I231" s="4" t="s">
        <v>1</v>
      </c>
      <c r="K2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0.73426138751120296</v>
      </c>
    </row>
    <row r="232" spans="1:11" x14ac:dyDescent="0.3">
      <c r="A232" s="4">
        <v>32</v>
      </c>
      <c r="B232" s="4">
        <v>800000</v>
      </c>
      <c r="C232" s="4">
        <v>6</v>
      </c>
      <c r="D232" s="4">
        <v>1</v>
      </c>
      <c r="E232" s="4">
        <v>1</v>
      </c>
      <c r="F232" s="4">
        <v>1</v>
      </c>
      <c r="G232" s="4">
        <v>0</v>
      </c>
      <c r="H232" s="4">
        <v>0</v>
      </c>
      <c r="I232" s="4" t="s">
        <v>1</v>
      </c>
      <c r="K2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0.24238245639871323</v>
      </c>
    </row>
    <row r="233" spans="1:11" x14ac:dyDescent="0.3">
      <c r="A233" s="4">
        <v>28</v>
      </c>
      <c r="B233" s="4">
        <v>600000</v>
      </c>
      <c r="C233" s="4">
        <v>2</v>
      </c>
      <c r="D233" s="4">
        <v>1</v>
      </c>
      <c r="E233" s="4">
        <v>1</v>
      </c>
      <c r="F233" s="4">
        <v>0</v>
      </c>
      <c r="G233" s="4">
        <v>1</v>
      </c>
      <c r="H233" s="4">
        <v>0</v>
      </c>
      <c r="I233" s="4" t="s">
        <v>1</v>
      </c>
      <c r="K2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0.13393072910449944</v>
      </c>
    </row>
    <row r="234" spans="1:11" x14ac:dyDescent="0.3">
      <c r="A234" s="4">
        <v>26</v>
      </c>
      <c r="B234" s="4">
        <v>1500000</v>
      </c>
      <c r="C234" s="4">
        <v>6</v>
      </c>
      <c r="D234" s="4">
        <v>0</v>
      </c>
      <c r="E234" s="4">
        <v>1</v>
      </c>
      <c r="F234" s="4">
        <v>0</v>
      </c>
      <c r="G234" s="4">
        <v>1</v>
      </c>
      <c r="H234" s="4">
        <v>1</v>
      </c>
      <c r="I234" s="4" t="s">
        <v>1</v>
      </c>
      <c r="K2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0.82246047362233154</v>
      </c>
    </row>
    <row r="235" spans="1:11" x14ac:dyDescent="0.3">
      <c r="A235" s="4">
        <v>28</v>
      </c>
      <c r="B235" s="4">
        <v>300000</v>
      </c>
      <c r="C235" s="4">
        <v>6</v>
      </c>
      <c r="D235" s="4">
        <v>1</v>
      </c>
      <c r="E235" s="4">
        <v>1</v>
      </c>
      <c r="F235" s="4">
        <v>0</v>
      </c>
      <c r="G235" s="4">
        <v>0</v>
      </c>
      <c r="H235" s="4">
        <v>0</v>
      </c>
      <c r="I235" s="4" t="s">
        <v>1</v>
      </c>
      <c r="K2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1.997068633448372E-2</v>
      </c>
    </row>
    <row r="236" spans="1:11" x14ac:dyDescent="0.3">
      <c r="A236" s="4">
        <v>33</v>
      </c>
      <c r="B236" s="4">
        <v>1000000</v>
      </c>
      <c r="C236" s="4">
        <v>7</v>
      </c>
      <c r="D236" s="4">
        <v>1</v>
      </c>
      <c r="E236" s="4">
        <v>1</v>
      </c>
      <c r="F236" s="4">
        <v>1</v>
      </c>
      <c r="G236" s="4">
        <v>0</v>
      </c>
      <c r="H236" s="4">
        <v>0</v>
      </c>
      <c r="I236" s="4" t="s">
        <v>1</v>
      </c>
      <c r="K2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0.33449831385636786</v>
      </c>
    </row>
    <row r="237" spans="1:11" x14ac:dyDescent="0.3">
      <c r="A237" s="4">
        <v>26</v>
      </c>
      <c r="B237" s="4">
        <v>1500000</v>
      </c>
      <c r="C237" s="4">
        <v>6</v>
      </c>
      <c r="D237" s="4">
        <v>0</v>
      </c>
      <c r="E237" s="4">
        <v>1</v>
      </c>
      <c r="F237" s="4">
        <v>0</v>
      </c>
      <c r="G237" s="4">
        <v>1</v>
      </c>
      <c r="H237" s="4">
        <v>1</v>
      </c>
      <c r="I237" s="4" t="s">
        <v>1</v>
      </c>
      <c r="K2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0.82246047362233154</v>
      </c>
    </row>
    <row r="238" spans="1:11" x14ac:dyDescent="0.3">
      <c r="A238" s="4">
        <v>32</v>
      </c>
      <c r="B238" s="4">
        <v>650000</v>
      </c>
      <c r="C238" s="4">
        <v>5</v>
      </c>
      <c r="D238" s="4">
        <v>1</v>
      </c>
      <c r="E238" s="4">
        <v>1</v>
      </c>
      <c r="F238" s="4">
        <v>0</v>
      </c>
      <c r="G238" s="4">
        <v>0</v>
      </c>
      <c r="H238" s="4">
        <v>0</v>
      </c>
      <c r="I238" s="4" t="s">
        <v>1</v>
      </c>
      <c r="K2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0.16435181486367983</v>
      </c>
    </row>
    <row r="239" spans="1:11" x14ac:dyDescent="0.3">
      <c r="A239" s="4">
        <v>33</v>
      </c>
      <c r="B239" s="4">
        <v>400000</v>
      </c>
      <c r="C239" s="4">
        <v>4</v>
      </c>
      <c r="D239" s="4">
        <v>1</v>
      </c>
      <c r="E239" s="4">
        <v>1</v>
      </c>
      <c r="F239" s="4">
        <v>0</v>
      </c>
      <c r="G239" s="4">
        <v>0</v>
      </c>
      <c r="H239" s="4">
        <v>0</v>
      </c>
      <c r="I239" s="4" t="s">
        <v>1</v>
      </c>
      <c r="K2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8.4182448100182897E-2</v>
      </c>
    </row>
    <row r="240" spans="1:11" x14ac:dyDescent="0.3">
      <c r="A240" s="4">
        <v>29</v>
      </c>
      <c r="B240" s="4">
        <v>900000</v>
      </c>
      <c r="C240" s="4">
        <v>4</v>
      </c>
      <c r="D240" s="4">
        <v>0</v>
      </c>
      <c r="E240" s="4">
        <v>1</v>
      </c>
      <c r="F240" s="4">
        <v>0</v>
      </c>
      <c r="G240" s="4">
        <v>0</v>
      </c>
      <c r="H240" s="4">
        <v>0</v>
      </c>
      <c r="I240" s="4" t="s">
        <v>1</v>
      </c>
      <c r="K2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0.20355734175431528</v>
      </c>
    </row>
    <row r="241" spans="1:11" x14ac:dyDescent="0.3">
      <c r="A241" s="4">
        <v>28</v>
      </c>
      <c r="B241" s="4">
        <v>1100000</v>
      </c>
      <c r="C241" s="4">
        <v>4</v>
      </c>
      <c r="D241" s="4">
        <v>0</v>
      </c>
      <c r="E241" s="4">
        <v>1</v>
      </c>
      <c r="F241" s="4">
        <v>1</v>
      </c>
      <c r="G241" s="4">
        <v>1</v>
      </c>
      <c r="H241" s="4">
        <v>0</v>
      </c>
      <c r="I241" s="4" t="s">
        <v>1</v>
      </c>
      <c r="K2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0.35718895587529648</v>
      </c>
    </row>
    <row r="242" spans="1:11" x14ac:dyDescent="0.3">
      <c r="A242" s="4">
        <v>31</v>
      </c>
      <c r="B242" s="4">
        <v>400000</v>
      </c>
      <c r="C242" s="4">
        <v>6</v>
      </c>
      <c r="D242" s="4">
        <v>1</v>
      </c>
      <c r="E242" s="4">
        <v>1</v>
      </c>
      <c r="F242" s="4">
        <v>0</v>
      </c>
      <c r="G242" s="4">
        <v>0</v>
      </c>
      <c r="H242" s="4">
        <v>0</v>
      </c>
      <c r="I242" s="4" t="s">
        <v>1</v>
      </c>
      <c r="K2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9.1461359959431235E-2</v>
      </c>
    </row>
    <row r="243" spans="1:11" x14ac:dyDescent="0.3">
      <c r="A243" s="4">
        <v>30</v>
      </c>
      <c r="B243" s="4">
        <v>800000</v>
      </c>
      <c r="C243" s="4">
        <v>3</v>
      </c>
      <c r="D243" s="4">
        <v>0</v>
      </c>
      <c r="E243" s="4">
        <v>0</v>
      </c>
      <c r="F243" s="4">
        <v>0</v>
      </c>
      <c r="G243" s="4">
        <v>0</v>
      </c>
      <c r="H243" s="4">
        <v>0</v>
      </c>
      <c r="I243" s="4" t="s">
        <v>1</v>
      </c>
      <c r="K2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0.25014678097979709</v>
      </c>
    </row>
    <row r="244" spans="1:11" x14ac:dyDescent="0.3">
      <c r="A244" s="4">
        <v>34</v>
      </c>
      <c r="B244" s="4">
        <v>700000</v>
      </c>
      <c r="C244" s="4">
        <v>5</v>
      </c>
      <c r="D244" s="4">
        <v>0</v>
      </c>
      <c r="E244" s="4">
        <v>1</v>
      </c>
      <c r="F244" s="4">
        <v>0</v>
      </c>
      <c r="G244" s="4">
        <v>0</v>
      </c>
      <c r="H244" s="4">
        <v>0</v>
      </c>
      <c r="I244" s="4" t="s">
        <v>1</v>
      </c>
      <c r="K2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0.22773028759963804</v>
      </c>
    </row>
    <row r="245" spans="1:11" x14ac:dyDescent="0.3">
      <c r="A245" s="4">
        <v>33</v>
      </c>
      <c r="B245" s="4">
        <v>1500000</v>
      </c>
      <c r="C245" s="4">
        <v>5</v>
      </c>
      <c r="D245" s="4">
        <v>0</v>
      </c>
      <c r="E245" s="4">
        <v>1</v>
      </c>
      <c r="F245" s="4">
        <v>1</v>
      </c>
      <c r="G245" s="4">
        <v>1</v>
      </c>
      <c r="H245" s="4">
        <v>1</v>
      </c>
      <c r="I245" s="4" t="s">
        <v>1</v>
      </c>
      <c r="K2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0.91542543895012363</v>
      </c>
    </row>
    <row r="246" spans="1:11" x14ac:dyDescent="0.3">
      <c r="A246" s="4">
        <v>26</v>
      </c>
      <c r="B246" s="4">
        <v>450000</v>
      </c>
      <c r="C246" s="4">
        <v>7</v>
      </c>
      <c r="D246" s="4">
        <v>0</v>
      </c>
      <c r="E246" s="4">
        <v>1</v>
      </c>
      <c r="F246" s="4">
        <v>0</v>
      </c>
      <c r="G246" s="4">
        <v>0</v>
      </c>
      <c r="H246" s="4">
        <v>0</v>
      </c>
      <c r="I246" s="4" t="s">
        <v>1</v>
      </c>
      <c r="K2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7.672187004221688E-2</v>
      </c>
    </row>
    <row r="247" spans="1:11" x14ac:dyDescent="0.3">
      <c r="A247" s="4">
        <v>26</v>
      </c>
      <c r="B247" s="4">
        <v>600000</v>
      </c>
      <c r="C247" s="4">
        <v>5</v>
      </c>
      <c r="D247" s="4">
        <v>0</v>
      </c>
      <c r="E247" s="4">
        <v>1</v>
      </c>
      <c r="F247" s="4">
        <v>0</v>
      </c>
      <c r="G247" s="4">
        <v>0</v>
      </c>
      <c r="H247" s="4">
        <v>0</v>
      </c>
      <c r="I247" s="4" t="s">
        <v>1</v>
      </c>
      <c r="K2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8.8108431822359903E-2</v>
      </c>
    </row>
    <row r="248" spans="1:11" x14ac:dyDescent="0.3">
      <c r="A248" s="4">
        <v>34</v>
      </c>
      <c r="B248" s="4">
        <v>700000</v>
      </c>
      <c r="C248" s="4">
        <v>7</v>
      </c>
      <c r="D248" s="4">
        <v>0</v>
      </c>
      <c r="E248" s="4">
        <v>1</v>
      </c>
      <c r="F248" s="4">
        <v>1</v>
      </c>
      <c r="G248" s="4">
        <v>0</v>
      </c>
      <c r="H248" s="4">
        <v>0</v>
      </c>
      <c r="I248" s="4" t="s">
        <v>1</v>
      </c>
      <c r="K2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0.27710867499443814</v>
      </c>
    </row>
    <row r="249" spans="1:11" x14ac:dyDescent="0.3">
      <c r="A249" s="4">
        <v>28</v>
      </c>
      <c r="B249" s="4">
        <v>1200000</v>
      </c>
      <c r="C249" s="4">
        <v>6</v>
      </c>
      <c r="D249" s="4">
        <v>1</v>
      </c>
      <c r="E249" s="4">
        <v>1</v>
      </c>
      <c r="F249" s="4">
        <v>1</v>
      </c>
      <c r="G249" s="4">
        <v>0</v>
      </c>
      <c r="H249" s="4">
        <v>0</v>
      </c>
      <c r="I249" s="4" t="s">
        <v>1</v>
      </c>
      <c r="K2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0.3103253680110451</v>
      </c>
    </row>
    <row r="250" spans="1:11" x14ac:dyDescent="0.3">
      <c r="A250" s="4">
        <v>27</v>
      </c>
      <c r="B250" s="4">
        <v>1050000</v>
      </c>
      <c r="C250" s="4">
        <v>5</v>
      </c>
      <c r="D250" s="4">
        <v>1</v>
      </c>
      <c r="E250" s="4">
        <v>1</v>
      </c>
      <c r="F250" s="4">
        <v>1</v>
      </c>
      <c r="G250" s="4">
        <v>0</v>
      </c>
      <c r="H250" s="4">
        <v>0</v>
      </c>
      <c r="I250" s="4" t="s">
        <v>1</v>
      </c>
      <c r="K2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0.23351549272016495</v>
      </c>
    </row>
    <row r="251" spans="1:11" x14ac:dyDescent="0.3">
      <c r="A251" s="4">
        <v>28</v>
      </c>
      <c r="B251" s="4">
        <v>600000</v>
      </c>
      <c r="C251" s="4">
        <v>5</v>
      </c>
      <c r="D251" s="4">
        <v>1</v>
      </c>
      <c r="E251" s="4">
        <v>1</v>
      </c>
      <c r="F251" s="4">
        <v>0</v>
      </c>
      <c r="G251" s="4">
        <v>0</v>
      </c>
      <c r="H251" s="4">
        <v>1</v>
      </c>
      <c r="I251" s="4" t="s">
        <v>1</v>
      </c>
      <c r="K2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0.44493263820325057</v>
      </c>
    </row>
    <row r="252" spans="1:11" x14ac:dyDescent="0.3">
      <c r="A252" s="4">
        <v>28</v>
      </c>
      <c r="B252" s="4">
        <v>800000</v>
      </c>
      <c r="C252" s="4">
        <v>5</v>
      </c>
      <c r="D252" s="4">
        <v>0</v>
      </c>
      <c r="E252" s="4">
        <v>1</v>
      </c>
      <c r="F252" s="4">
        <v>0</v>
      </c>
      <c r="G252" s="4">
        <v>1</v>
      </c>
      <c r="H252" s="4">
        <v>0</v>
      </c>
      <c r="I252" s="4" t="s">
        <v>1</v>
      </c>
      <c r="K2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0.26777175256011992</v>
      </c>
    </row>
    <row r="253" spans="1:11" x14ac:dyDescent="0.3">
      <c r="A253" s="4">
        <v>27</v>
      </c>
      <c r="B253" s="4">
        <v>1550000</v>
      </c>
      <c r="C253" s="4">
        <v>7</v>
      </c>
      <c r="D253" s="4">
        <v>0</v>
      </c>
      <c r="E253" s="4">
        <v>0</v>
      </c>
      <c r="F253" s="4">
        <v>0</v>
      </c>
      <c r="G253" s="4">
        <v>1</v>
      </c>
      <c r="H253" s="4">
        <v>0</v>
      </c>
      <c r="I253" s="4" t="s">
        <v>1</v>
      </c>
      <c r="K2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0.59910749284010778</v>
      </c>
    </row>
    <row r="254" spans="1:11" x14ac:dyDescent="0.3">
      <c r="A254" s="4">
        <v>33</v>
      </c>
      <c r="B254" s="4">
        <v>800000</v>
      </c>
      <c r="C254" s="4">
        <v>3</v>
      </c>
      <c r="D254" s="4">
        <v>1</v>
      </c>
      <c r="E254" s="4">
        <v>1</v>
      </c>
      <c r="F254" s="4">
        <v>0</v>
      </c>
      <c r="G254" s="4">
        <v>0</v>
      </c>
      <c r="H254" s="4">
        <v>0</v>
      </c>
      <c r="I254" s="4" t="s">
        <v>1</v>
      </c>
      <c r="K2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0.18936461307428898</v>
      </c>
    </row>
    <row r="255" spans="1:11" x14ac:dyDescent="0.3">
      <c r="A255" s="4">
        <v>28</v>
      </c>
      <c r="B255" s="4">
        <v>1250000</v>
      </c>
      <c r="C255" s="4">
        <v>4</v>
      </c>
      <c r="D255" s="4">
        <v>0</v>
      </c>
      <c r="E255" s="4">
        <v>1</v>
      </c>
      <c r="F255" s="4">
        <v>0</v>
      </c>
      <c r="G255" s="4">
        <v>0</v>
      </c>
      <c r="H255" s="4">
        <v>0</v>
      </c>
      <c r="I255" s="4" t="s">
        <v>1</v>
      </c>
      <c r="K2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0.29707298049127107</v>
      </c>
    </row>
    <row r="256" spans="1:11" x14ac:dyDescent="0.3">
      <c r="A256" s="4">
        <v>28</v>
      </c>
      <c r="B256" s="4">
        <v>1200000</v>
      </c>
      <c r="C256" s="4">
        <v>8</v>
      </c>
      <c r="D256" s="4">
        <v>1</v>
      </c>
      <c r="E256" s="4">
        <v>1</v>
      </c>
      <c r="F256" s="4">
        <v>0</v>
      </c>
      <c r="G256" s="4">
        <v>1</v>
      </c>
      <c r="H256" s="4">
        <v>0</v>
      </c>
      <c r="I256" s="4" t="s">
        <v>1</v>
      </c>
      <c r="K2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0.42119666926633581</v>
      </c>
    </row>
    <row r="257" spans="1:11" x14ac:dyDescent="0.3">
      <c r="A257" s="4">
        <v>31</v>
      </c>
      <c r="B257" s="4">
        <v>500000</v>
      </c>
      <c r="C257" s="4">
        <v>8</v>
      </c>
      <c r="D257" s="4">
        <v>0</v>
      </c>
      <c r="E257" s="4">
        <v>1</v>
      </c>
      <c r="F257" s="4">
        <v>0</v>
      </c>
      <c r="G257" s="4">
        <v>0</v>
      </c>
      <c r="H257" s="4">
        <v>0</v>
      </c>
      <c r="I257" s="4" t="s">
        <v>1</v>
      </c>
      <c r="K2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0.17742472672141235</v>
      </c>
    </row>
    <row r="258" spans="1:11" x14ac:dyDescent="0.3">
      <c r="A258" s="4">
        <v>25</v>
      </c>
      <c r="B258" s="4">
        <v>1400000</v>
      </c>
      <c r="C258" s="4">
        <v>6</v>
      </c>
      <c r="D258" s="4">
        <v>0</v>
      </c>
      <c r="E258" s="4">
        <v>1</v>
      </c>
      <c r="F258" s="4">
        <v>0</v>
      </c>
      <c r="G258" s="4">
        <v>1</v>
      </c>
      <c r="H258" s="4">
        <v>1</v>
      </c>
      <c r="I258" s="4" t="s">
        <v>1</v>
      </c>
      <c r="K2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0.77822227285831636</v>
      </c>
    </row>
    <row r="259" spans="1:11" x14ac:dyDescent="0.3">
      <c r="A259" s="4">
        <v>34</v>
      </c>
      <c r="B259" s="4">
        <v>1000000</v>
      </c>
      <c r="C259" s="4">
        <v>5</v>
      </c>
      <c r="D259" s="4">
        <v>0</v>
      </c>
      <c r="E259" s="4">
        <v>1</v>
      </c>
      <c r="F259" s="4">
        <v>0</v>
      </c>
      <c r="G259" s="4">
        <v>0</v>
      </c>
      <c r="H259" s="4">
        <v>0</v>
      </c>
      <c r="I259" s="4" t="s">
        <v>1</v>
      </c>
      <c r="K2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0.3195661806002853</v>
      </c>
    </row>
    <row r="260" spans="1:11" x14ac:dyDescent="0.3">
      <c r="A260" s="4">
        <v>25</v>
      </c>
      <c r="B260" s="4">
        <v>500000</v>
      </c>
      <c r="C260" s="4">
        <v>6</v>
      </c>
      <c r="D260" s="4">
        <v>0</v>
      </c>
      <c r="E260" s="4">
        <v>1</v>
      </c>
      <c r="F260" s="4">
        <v>0</v>
      </c>
      <c r="G260" s="4">
        <v>0</v>
      </c>
      <c r="H260" s="4">
        <v>0</v>
      </c>
      <c r="I260" s="4" t="s">
        <v>1</v>
      </c>
      <c r="K2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6.1135923418434948E-2</v>
      </c>
    </row>
    <row r="261" spans="1:11" x14ac:dyDescent="0.3">
      <c r="A261" s="4">
        <v>29</v>
      </c>
      <c r="B261" s="4">
        <v>1200000</v>
      </c>
      <c r="C261" s="4">
        <v>5</v>
      </c>
      <c r="D261" s="4">
        <v>0</v>
      </c>
      <c r="E261" s="4">
        <v>1</v>
      </c>
      <c r="F261" s="4">
        <v>1</v>
      </c>
      <c r="G261" s="4">
        <v>0</v>
      </c>
      <c r="H261" s="4">
        <v>0</v>
      </c>
      <c r="I261" s="4" t="s">
        <v>1</v>
      </c>
      <c r="K2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0.3275059297896723</v>
      </c>
    </row>
    <row r="262" spans="1:11" x14ac:dyDescent="0.3">
      <c r="A262" s="4">
        <v>33</v>
      </c>
      <c r="B262" s="4">
        <v>600000</v>
      </c>
      <c r="C262" s="4">
        <v>3</v>
      </c>
      <c r="D262" s="4">
        <v>1</v>
      </c>
      <c r="E262" s="4">
        <v>1</v>
      </c>
      <c r="F262" s="4">
        <v>0</v>
      </c>
      <c r="G262" s="4">
        <v>0</v>
      </c>
      <c r="H262" s="4">
        <v>0</v>
      </c>
      <c r="I262" s="4" t="s">
        <v>1</v>
      </c>
      <c r="K2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0.12814068440719079</v>
      </c>
    </row>
    <row r="263" spans="1:11" x14ac:dyDescent="0.3">
      <c r="A263" s="4">
        <v>28</v>
      </c>
      <c r="B263" s="4">
        <v>1200000</v>
      </c>
      <c r="C263" s="4">
        <v>9</v>
      </c>
      <c r="D263" s="4">
        <v>0</v>
      </c>
      <c r="E263" s="4">
        <v>1</v>
      </c>
      <c r="F263" s="4">
        <v>0</v>
      </c>
      <c r="G263" s="4">
        <v>0</v>
      </c>
      <c r="H263" s="4">
        <v>0</v>
      </c>
      <c r="I263" s="4" t="s">
        <v>1</v>
      </c>
      <c r="K2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0.36809546012494793</v>
      </c>
    </row>
    <row r="264" spans="1:11" x14ac:dyDescent="0.3">
      <c r="A264" s="4">
        <v>25</v>
      </c>
      <c r="B264" s="4">
        <v>1400000</v>
      </c>
      <c r="C264" s="4">
        <v>5</v>
      </c>
      <c r="D264" s="4">
        <v>0</v>
      </c>
      <c r="E264" s="4">
        <v>1</v>
      </c>
      <c r="F264" s="4">
        <v>0</v>
      </c>
      <c r="G264" s="4">
        <v>1</v>
      </c>
      <c r="H264" s="4">
        <v>1</v>
      </c>
      <c r="I264" s="4" t="s">
        <v>1</v>
      </c>
      <c r="K2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0.76095658049822612</v>
      </c>
    </row>
    <row r="265" spans="1:11" x14ac:dyDescent="0.3">
      <c r="A265" s="4">
        <v>35</v>
      </c>
      <c r="B265" s="4">
        <v>800000</v>
      </c>
      <c r="C265" s="4">
        <v>5</v>
      </c>
      <c r="D265" s="4">
        <v>0</v>
      </c>
      <c r="E265" s="4">
        <v>0</v>
      </c>
      <c r="F265" s="4">
        <v>0</v>
      </c>
      <c r="G265" s="4">
        <v>0</v>
      </c>
      <c r="H265" s="4">
        <v>0</v>
      </c>
      <c r="I265" s="4" t="s">
        <v>1</v>
      </c>
      <c r="K2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0.35280934785230833</v>
      </c>
    </row>
    <row r="266" spans="1:11" x14ac:dyDescent="0.3">
      <c r="A266" s="4">
        <v>29</v>
      </c>
      <c r="B266" s="4">
        <v>500000</v>
      </c>
      <c r="C266" s="4">
        <v>5</v>
      </c>
      <c r="D266" s="4">
        <v>0</v>
      </c>
      <c r="E266" s="4">
        <v>1</v>
      </c>
      <c r="F266" s="4">
        <v>0</v>
      </c>
      <c r="G266" s="4">
        <v>0</v>
      </c>
      <c r="H266" s="4">
        <v>0</v>
      </c>
      <c r="I266" s="4" t="s">
        <v>1</v>
      </c>
      <c r="K2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9.837517678020917E-2</v>
      </c>
    </row>
    <row r="267" spans="1:11" x14ac:dyDescent="0.3">
      <c r="A267" s="4">
        <v>29</v>
      </c>
      <c r="B267" s="4">
        <v>1200000</v>
      </c>
      <c r="C267" s="4">
        <v>3</v>
      </c>
      <c r="D267" s="4">
        <v>0</v>
      </c>
      <c r="E267" s="4">
        <v>1</v>
      </c>
      <c r="F267" s="4">
        <v>1</v>
      </c>
      <c r="G267" s="4">
        <v>0</v>
      </c>
      <c r="H267" s="4">
        <v>1</v>
      </c>
      <c r="I267" s="4" t="s">
        <v>1</v>
      </c>
      <c r="K2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0.64336629629770159</v>
      </c>
    </row>
    <row r="268" spans="1:11" x14ac:dyDescent="0.3">
      <c r="A268" s="4">
        <v>28</v>
      </c>
      <c r="B268" s="4">
        <v>550000</v>
      </c>
      <c r="C268" s="4">
        <v>5</v>
      </c>
      <c r="D268" s="4">
        <v>0</v>
      </c>
      <c r="E268" s="4">
        <v>1</v>
      </c>
      <c r="F268" s="4">
        <v>0</v>
      </c>
      <c r="G268" s="4">
        <v>0</v>
      </c>
      <c r="H268" s="4">
        <v>0</v>
      </c>
      <c r="I268" s="4" t="s">
        <v>1</v>
      </c>
      <c r="K2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0.10005492251651761</v>
      </c>
    </row>
    <row r="269" spans="1:11" x14ac:dyDescent="0.3">
      <c r="A269" s="4">
        <v>34</v>
      </c>
      <c r="B269" s="4">
        <v>1500000</v>
      </c>
      <c r="C269" s="4">
        <v>5</v>
      </c>
      <c r="D269" s="4">
        <v>0</v>
      </c>
      <c r="E269" s="4">
        <v>1</v>
      </c>
      <c r="F269" s="4">
        <v>0</v>
      </c>
      <c r="G269" s="4">
        <v>1</v>
      </c>
      <c r="H269" s="4">
        <v>1</v>
      </c>
      <c r="I269" s="4" t="s">
        <v>1</v>
      </c>
      <c r="K2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0.91420467270597028</v>
      </c>
    </row>
    <row r="270" spans="1:11" x14ac:dyDescent="0.3">
      <c r="A270" s="4">
        <v>28</v>
      </c>
      <c r="B270" s="4">
        <v>1450000</v>
      </c>
      <c r="C270" s="4">
        <v>5</v>
      </c>
      <c r="D270" s="4">
        <v>0</v>
      </c>
      <c r="E270" s="4">
        <v>1</v>
      </c>
      <c r="F270" s="4">
        <v>0</v>
      </c>
      <c r="G270" s="4">
        <v>1</v>
      </c>
      <c r="H270" s="4">
        <v>1</v>
      </c>
      <c r="I270" s="4" t="s">
        <v>1</v>
      </c>
      <c r="K2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0.81714127195639907</v>
      </c>
    </row>
    <row r="271" spans="1:11" x14ac:dyDescent="0.3">
      <c r="A271" s="4">
        <v>29</v>
      </c>
      <c r="B271" s="4">
        <v>1750000</v>
      </c>
      <c r="C271" s="4">
        <v>6</v>
      </c>
      <c r="D271" s="4">
        <v>0</v>
      </c>
      <c r="E271" s="4">
        <v>1</v>
      </c>
      <c r="F271" s="4">
        <v>0</v>
      </c>
      <c r="G271" s="4">
        <v>0</v>
      </c>
      <c r="H271" s="4">
        <v>0</v>
      </c>
      <c r="I271" s="4" t="s">
        <v>1</v>
      </c>
      <c r="K2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0.49829042330966322</v>
      </c>
    </row>
    <row r="272" spans="1:11" x14ac:dyDescent="0.3">
      <c r="A272" s="4">
        <v>34</v>
      </c>
      <c r="B272" s="4">
        <v>1000000</v>
      </c>
      <c r="C272" s="4">
        <v>5</v>
      </c>
      <c r="D272" s="4">
        <v>0</v>
      </c>
      <c r="E272" s="4">
        <v>1</v>
      </c>
      <c r="F272" s="4">
        <v>1</v>
      </c>
      <c r="G272" s="4">
        <v>1</v>
      </c>
      <c r="H272" s="4">
        <v>0</v>
      </c>
      <c r="I272" s="4" t="s">
        <v>1</v>
      </c>
      <c r="K2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0.42560010248463437</v>
      </c>
    </row>
    <row r="273" spans="1:11" x14ac:dyDescent="0.3">
      <c r="A273" s="4">
        <v>34</v>
      </c>
      <c r="B273" s="4">
        <v>1300000</v>
      </c>
      <c r="C273" s="4">
        <v>6</v>
      </c>
      <c r="D273" s="4">
        <v>0</v>
      </c>
      <c r="E273" s="4">
        <v>1</v>
      </c>
      <c r="F273" s="4">
        <v>0</v>
      </c>
      <c r="G273" s="4">
        <v>0</v>
      </c>
      <c r="H273" s="4">
        <v>0</v>
      </c>
      <c r="I273" s="4" t="s">
        <v>1</v>
      </c>
      <c r="K2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0.42866776596102296</v>
      </c>
    </row>
    <row r="274" spans="1:11" x14ac:dyDescent="0.3">
      <c r="A274" s="4">
        <v>25</v>
      </c>
      <c r="B274" s="4">
        <v>1700000</v>
      </c>
      <c r="C274" s="4">
        <v>5</v>
      </c>
      <c r="D274" s="4">
        <v>0</v>
      </c>
      <c r="E274" s="4">
        <v>0</v>
      </c>
      <c r="F274" s="4">
        <v>0</v>
      </c>
      <c r="G274" s="4">
        <v>1</v>
      </c>
      <c r="H274" s="4">
        <v>0</v>
      </c>
      <c r="I274" s="4" t="s">
        <v>1</v>
      </c>
      <c r="K2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0.58324158175931839</v>
      </c>
    </row>
    <row r="275" spans="1:11" x14ac:dyDescent="0.3">
      <c r="A275" s="4">
        <v>28</v>
      </c>
      <c r="B275" s="4">
        <v>500000</v>
      </c>
      <c r="C275" s="4">
        <v>5</v>
      </c>
      <c r="D275" s="4">
        <v>0</v>
      </c>
      <c r="E275" s="4">
        <v>1</v>
      </c>
      <c r="F275" s="4">
        <v>1</v>
      </c>
      <c r="G275" s="4">
        <v>0</v>
      </c>
      <c r="H275" s="4">
        <v>0</v>
      </c>
      <c r="I275" s="4" t="s">
        <v>1</v>
      </c>
      <c r="K2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9.9595943024362504E-2</v>
      </c>
    </row>
    <row r="276" spans="1:11" x14ac:dyDescent="0.3">
      <c r="A276" s="4">
        <v>27</v>
      </c>
      <c r="B276" s="4">
        <v>350000</v>
      </c>
      <c r="C276" s="4">
        <v>5</v>
      </c>
      <c r="D276" s="4">
        <v>0</v>
      </c>
      <c r="E276" s="4">
        <v>0</v>
      </c>
      <c r="F276" s="4">
        <v>1</v>
      </c>
      <c r="G276" s="4">
        <v>0</v>
      </c>
      <c r="H276" s="4">
        <v>0</v>
      </c>
      <c r="I276" s="4" t="s">
        <v>1</v>
      </c>
      <c r="K2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0.12089261958222777</v>
      </c>
    </row>
    <row r="277" spans="1:11" x14ac:dyDescent="0.3">
      <c r="A277" s="4">
        <v>31</v>
      </c>
      <c r="B277" s="4">
        <v>500000</v>
      </c>
      <c r="C277" s="4">
        <v>6</v>
      </c>
      <c r="D277" s="4">
        <v>0</v>
      </c>
      <c r="E277" s="4">
        <v>1</v>
      </c>
      <c r="F277" s="4">
        <v>0</v>
      </c>
      <c r="G277" s="4">
        <v>0</v>
      </c>
      <c r="H277" s="4">
        <v>0</v>
      </c>
      <c r="I277" s="4" t="s">
        <v>1</v>
      </c>
      <c r="K2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0.14289334200123177</v>
      </c>
    </row>
    <row r="278" spans="1:11" x14ac:dyDescent="0.3">
      <c r="A278" s="4">
        <v>28</v>
      </c>
      <c r="B278" s="4">
        <v>1450000</v>
      </c>
      <c r="C278" s="4">
        <v>4</v>
      </c>
      <c r="D278" s="4">
        <v>0</v>
      </c>
      <c r="E278" s="4">
        <v>1</v>
      </c>
      <c r="F278" s="4">
        <v>0</v>
      </c>
      <c r="G278" s="4">
        <v>1</v>
      </c>
      <c r="H278" s="4">
        <v>1</v>
      </c>
      <c r="I278" s="4" t="s">
        <v>1</v>
      </c>
      <c r="K2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0.79987557959630862</v>
      </c>
    </row>
    <row r="279" spans="1:11" x14ac:dyDescent="0.3">
      <c r="A279" s="4">
        <v>28</v>
      </c>
      <c r="B279" s="4">
        <v>300000</v>
      </c>
      <c r="C279" s="4">
        <v>6</v>
      </c>
      <c r="D279" s="4">
        <v>1</v>
      </c>
      <c r="E279" s="4">
        <v>0</v>
      </c>
      <c r="F279" s="4">
        <v>1</v>
      </c>
      <c r="G279" s="4">
        <v>0</v>
      </c>
      <c r="H279" s="4">
        <v>0</v>
      </c>
      <c r="I279" s="4" t="s">
        <v>1</v>
      </c>
      <c r="K2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0.11565854849775821</v>
      </c>
    </row>
    <row r="280" spans="1:11" x14ac:dyDescent="0.3">
      <c r="A280" s="4">
        <v>33</v>
      </c>
      <c r="B280" s="4">
        <v>1000000</v>
      </c>
      <c r="C280" s="4">
        <v>5</v>
      </c>
      <c r="D280" s="4">
        <v>1</v>
      </c>
      <c r="E280" s="4">
        <v>1</v>
      </c>
      <c r="F280" s="4">
        <v>0</v>
      </c>
      <c r="G280" s="4">
        <v>0</v>
      </c>
      <c r="H280" s="4">
        <v>0</v>
      </c>
      <c r="I280" s="4" t="s">
        <v>1</v>
      </c>
      <c r="K2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0.28511992646156775</v>
      </c>
    </row>
    <row r="281" spans="1:11" x14ac:dyDescent="0.3">
      <c r="A281" s="4">
        <v>26</v>
      </c>
      <c r="B281" s="4">
        <v>600000</v>
      </c>
      <c r="C281" s="4">
        <v>6</v>
      </c>
      <c r="D281" s="4">
        <v>0</v>
      </c>
      <c r="E281" s="4">
        <v>1</v>
      </c>
      <c r="F281" s="4">
        <v>1</v>
      </c>
      <c r="G281" s="4">
        <v>0</v>
      </c>
      <c r="H281" s="4">
        <v>0</v>
      </c>
      <c r="I281" s="4" t="s">
        <v>1</v>
      </c>
      <c r="K2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0.12022112685706965</v>
      </c>
    </row>
    <row r="282" spans="1:11" x14ac:dyDescent="0.3">
      <c r="A282" s="4">
        <v>33</v>
      </c>
      <c r="B282" s="4">
        <v>400000</v>
      </c>
      <c r="C282" s="4">
        <v>9</v>
      </c>
      <c r="D282" s="4">
        <v>1</v>
      </c>
      <c r="E282" s="4">
        <v>1</v>
      </c>
      <c r="F282" s="4">
        <v>1</v>
      </c>
      <c r="G282" s="4">
        <v>0</v>
      </c>
      <c r="H282" s="4">
        <v>0</v>
      </c>
      <c r="I282" s="4" t="s">
        <v>1</v>
      </c>
      <c r="K2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0.18535791257525383</v>
      </c>
    </row>
    <row r="283" spans="1:11" x14ac:dyDescent="0.3">
      <c r="A283" s="4">
        <v>25</v>
      </c>
      <c r="B283" s="4">
        <v>1150000</v>
      </c>
      <c r="C283" s="4">
        <v>8</v>
      </c>
      <c r="D283" s="4">
        <v>0</v>
      </c>
      <c r="E283" s="4">
        <v>0</v>
      </c>
      <c r="F283" s="4">
        <v>0</v>
      </c>
      <c r="G283" s="4">
        <v>1</v>
      </c>
      <c r="H283" s="4">
        <v>0</v>
      </c>
      <c r="I283" s="4" t="s">
        <v>1</v>
      </c>
      <c r="K2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0.46667285500506933</v>
      </c>
    </row>
    <row r="284" spans="1:11" x14ac:dyDescent="0.3">
      <c r="A284" s="4">
        <v>25</v>
      </c>
      <c r="B284" s="4">
        <v>1700000</v>
      </c>
      <c r="C284" s="4">
        <v>4</v>
      </c>
      <c r="D284" s="4">
        <v>0</v>
      </c>
      <c r="E284" s="4">
        <v>1</v>
      </c>
      <c r="F284" s="4">
        <v>1</v>
      </c>
      <c r="G284" s="4">
        <v>1</v>
      </c>
      <c r="H284" s="4">
        <v>0</v>
      </c>
      <c r="I284" s="4" t="s">
        <v>1</v>
      </c>
      <c r="K2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0.49998203258519264</v>
      </c>
    </row>
    <row r="285" spans="1:11" x14ac:dyDescent="0.3">
      <c r="A285" s="4">
        <v>29</v>
      </c>
      <c r="B285" s="4">
        <v>900000</v>
      </c>
      <c r="C285" s="4">
        <v>5</v>
      </c>
      <c r="D285" s="4">
        <v>0</v>
      </c>
      <c r="E285" s="4">
        <v>1</v>
      </c>
      <c r="F285" s="4">
        <v>0</v>
      </c>
      <c r="G285" s="4">
        <v>0</v>
      </c>
      <c r="H285" s="4">
        <v>0</v>
      </c>
      <c r="I285" s="4" t="s">
        <v>1</v>
      </c>
      <c r="K2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0.22082303411440563</v>
      </c>
    </row>
    <row r="286" spans="1:11" x14ac:dyDescent="0.3">
      <c r="A286" s="4">
        <v>31</v>
      </c>
      <c r="B286" s="4">
        <v>1250000</v>
      </c>
      <c r="C286" s="4">
        <v>5</v>
      </c>
      <c r="D286" s="4">
        <v>0</v>
      </c>
      <c r="E286" s="4">
        <v>1</v>
      </c>
      <c r="F286" s="4">
        <v>1</v>
      </c>
      <c r="G286" s="4">
        <v>0</v>
      </c>
      <c r="H286" s="4">
        <v>0</v>
      </c>
      <c r="I286" s="4" t="s">
        <v>1</v>
      </c>
      <c r="K2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0.37006438481737924</v>
      </c>
    </row>
    <row r="287" spans="1:11" x14ac:dyDescent="0.3">
      <c r="A287" s="4">
        <v>31</v>
      </c>
      <c r="B287" s="4">
        <v>900000</v>
      </c>
      <c r="C287" s="4">
        <v>3</v>
      </c>
      <c r="D287" s="4">
        <v>0</v>
      </c>
      <c r="E287" s="4">
        <v>1</v>
      </c>
      <c r="F287" s="4">
        <v>0</v>
      </c>
      <c r="G287" s="4">
        <v>0</v>
      </c>
      <c r="H287" s="4">
        <v>0</v>
      </c>
      <c r="I287" s="4" t="s">
        <v>1</v>
      </c>
      <c r="K2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0.21354412225515729</v>
      </c>
    </row>
    <row r="288" spans="1:11" x14ac:dyDescent="0.3">
      <c r="A288" s="4">
        <v>27</v>
      </c>
      <c r="B288" s="4">
        <v>450000</v>
      </c>
      <c r="C288" s="4">
        <v>7</v>
      </c>
      <c r="D288" s="4">
        <v>0</v>
      </c>
      <c r="E288" s="4">
        <v>0</v>
      </c>
      <c r="F288" s="4">
        <v>0</v>
      </c>
      <c r="G288" s="4">
        <v>0</v>
      </c>
      <c r="H288" s="4">
        <v>0</v>
      </c>
      <c r="I288" s="4" t="s">
        <v>1</v>
      </c>
      <c r="K2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0.17118896596133804</v>
      </c>
    </row>
    <row r="289" spans="1:11" x14ac:dyDescent="0.3">
      <c r="A289" s="4">
        <v>34</v>
      </c>
      <c r="B289" s="4">
        <v>1050000</v>
      </c>
      <c r="C289" s="4">
        <v>6</v>
      </c>
      <c r="D289" s="4">
        <v>0</v>
      </c>
      <c r="E289" s="4">
        <v>1</v>
      </c>
      <c r="F289" s="4">
        <v>0</v>
      </c>
      <c r="G289" s="4">
        <v>0</v>
      </c>
      <c r="H289" s="4">
        <v>1</v>
      </c>
      <c r="I289" s="4" t="s">
        <v>1</v>
      </c>
      <c r="K2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0.7025296063553601</v>
      </c>
    </row>
    <row r="290" spans="1:11" x14ac:dyDescent="0.3">
      <c r="A290" s="4">
        <v>28</v>
      </c>
      <c r="B290" s="4">
        <v>1200000</v>
      </c>
      <c r="C290" s="4">
        <v>3</v>
      </c>
      <c r="D290" s="4">
        <v>0</v>
      </c>
      <c r="E290" s="4">
        <v>1</v>
      </c>
      <c r="F290" s="4">
        <v>0</v>
      </c>
      <c r="G290" s="4">
        <v>0</v>
      </c>
      <c r="H290" s="4">
        <v>0</v>
      </c>
      <c r="I290" s="4" t="s">
        <v>1</v>
      </c>
      <c r="K2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0.26450130596440613</v>
      </c>
    </row>
    <row r="291" spans="1:11" x14ac:dyDescent="0.3">
      <c r="A291" s="4">
        <v>26</v>
      </c>
      <c r="B291" s="4">
        <v>1500000</v>
      </c>
      <c r="C291" s="4">
        <v>4</v>
      </c>
      <c r="D291" s="4">
        <v>0</v>
      </c>
      <c r="E291" s="4">
        <v>1</v>
      </c>
      <c r="F291" s="4">
        <v>0</v>
      </c>
      <c r="G291" s="4">
        <v>1</v>
      </c>
      <c r="H291" s="4">
        <v>1</v>
      </c>
      <c r="I291" s="4" t="s">
        <v>1</v>
      </c>
      <c r="K2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0.78792908890215108</v>
      </c>
    </row>
    <row r="292" spans="1:11" x14ac:dyDescent="0.3">
      <c r="A292" s="4">
        <v>26</v>
      </c>
      <c r="B292" s="4">
        <v>1500000</v>
      </c>
      <c r="C292" s="4">
        <v>4</v>
      </c>
      <c r="D292" s="4">
        <v>0</v>
      </c>
      <c r="E292" s="4">
        <v>1</v>
      </c>
      <c r="F292" s="4">
        <v>0</v>
      </c>
      <c r="G292" s="4">
        <v>1</v>
      </c>
      <c r="H292" s="4">
        <v>1</v>
      </c>
      <c r="I292" s="4" t="s">
        <v>1</v>
      </c>
      <c r="K2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0.78792908890215108</v>
      </c>
    </row>
    <row r="293" spans="1:11" x14ac:dyDescent="0.3">
      <c r="A293" s="4">
        <v>30</v>
      </c>
      <c r="B293" s="4">
        <v>1450000</v>
      </c>
      <c r="C293" s="4">
        <v>3</v>
      </c>
      <c r="D293" s="4">
        <v>0</v>
      </c>
      <c r="E293" s="4">
        <v>0</v>
      </c>
      <c r="F293" s="4">
        <v>1</v>
      </c>
      <c r="G293" s="4">
        <v>1</v>
      </c>
      <c r="H293" s="4">
        <v>1</v>
      </c>
      <c r="I293" s="4" t="s">
        <v>1</v>
      </c>
      <c r="K2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0.90555022226042514</v>
      </c>
    </row>
    <row r="294" spans="1:11" x14ac:dyDescent="0.3">
      <c r="A294" s="4">
        <v>26</v>
      </c>
      <c r="B294" s="4">
        <v>1300000</v>
      </c>
      <c r="C294" s="4">
        <v>5</v>
      </c>
      <c r="D294" s="4">
        <v>0</v>
      </c>
      <c r="E294" s="4">
        <v>1</v>
      </c>
      <c r="F294" s="4">
        <v>0</v>
      </c>
      <c r="G294" s="4">
        <v>0</v>
      </c>
      <c r="H294" s="4">
        <v>0</v>
      </c>
      <c r="I294" s="4" t="s">
        <v>1</v>
      </c>
      <c r="K2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0.30239218215720365</v>
      </c>
    </row>
    <row r="295" spans="1:11" x14ac:dyDescent="0.3">
      <c r="A295" s="4">
        <v>34</v>
      </c>
      <c r="B295" s="4">
        <v>1500000</v>
      </c>
      <c r="C295" s="4">
        <v>2</v>
      </c>
      <c r="D295" s="4">
        <v>0</v>
      </c>
      <c r="E295" s="4">
        <v>1</v>
      </c>
      <c r="F295" s="4">
        <v>0</v>
      </c>
      <c r="G295" s="4">
        <v>1</v>
      </c>
      <c r="H295" s="4">
        <v>1</v>
      </c>
      <c r="I295" s="4" t="s">
        <v>1</v>
      </c>
      <c r="K2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0.86240759562569935</v>
      </c>
    </row>
    <row r="296" spans="1:11" x14ac:dyDescent="0.3">
      <c r="A296" s="4">
        <v>32</v>
      </c>
      <c r="B296" s="4">
        <v>900000</v>
      </c>
      <c r="C296" s="4">
        <v>4</v>
      </c>
      <c r="D296" s="4">
        <v>1</v>
      </c>
      <c r="E296" s="4">
        <v>1</v>
      </c>
      <c r="F296" s="4">
        <v>0</v>
      </c>
      <c r="G296" s="4">
        <v>1</v>
      </c>
      <c r="H296" s="4">
        <v>0</v>
      </c>
      <c r="I296" s="4" t="s">
        <v>1</v>
      </c>
      <c r="K2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0.31480295254719193</v>
      </c>
    </row>
    <row r="297" spans="1:11" x14ac:dyDescent="0.3">
      <c r="A297" s="4">
        <v>30</v>
      </c>
      <c r="B297" s="4">
        <v>650000</v>
      </c>
      <c r="C297" s="4">
        <v>4</v>
      </c>
      <c r="D297" s="4">
        <v>0</v>
      </c>
      <c r="E297" s="4">
        <v>0</v>
      </c>
      <c r="F297" s="4">
        <v>0</v>
      </c>
      <c r="G297" s="4">
        <v>0</v>
      </c>
      <c r="H297" s="4">
        <v>0</v>
      </c>
      <c r="I297" s="4" t="s">
        <v>1</v>
      </c>
      <c r="K2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0.22149452683956375</v>
      </c>
    </row>
    <row r="298" spans="1:11" x14ac:dyDescent="0.3">
      <c r="A298" s="4">
        <v>28</v>
      </c>
      <c r="B298" s="4">
        <v>300000</v>
      </c>
      <c r="C298" s="4">
        <v>8</v>
      </c>
      <c r="D298" s="4">
        <v>1</v>
      </c>
      <c r="E298" s="4">
        <v>1</v>
      </c>
      <c r="F298" s="4">
        <v>0</v>
      </c>
      <c r="G298" s="4">
        <v>0</v>
      </c>
      <c r="H298" s="4">
        <v>0</v>
      </c>
      <c r="I298" s="4" t="s">
        <v>1</v>
      </c>
      <c r="K2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5.4502071054664328E-2</v>
      </c>
    </row>
    <row r="299" spans="1:11" x14ac:dyDescent="0.3">
      <c r="A299" s="4">
        <v>27</v>
      </c>
      <c r="B299" s="4">
        <v>750000</v>
      </c>
      <c r="C299" s="4">
        <v>3</v>
      </c>
      <c r="D299" s="4">
        <v>1</v>
      </c>
      <c r="E299" s="4">
        <v>1</v>
      </c>
      <c r="F299" s="4">
        <v>0</v>
      </c>
      <c r="G299" s="4">
        <v>0</v>
      </c>
      <c r="H299" s="4">
        <v>0</v>
      </c>
      <c r="I299" s="4" t="s">
        <v>1</v>
      </c>
      <c r="K2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9.2301212324717677E-2</v>
      </c>
    </row>
    <row r="300" spans="1:11" x14ac:dyDescent="0.3">
      <c r="A300" s="4">
        <v>27</v>
      </c>
      <c r="B300" s="4">
        <v>850000</v>
      </c>
      <c r="C300" s="4">
        <v>5</v>
      </c>
      <c r="D300" s="4">
        <v>1</v>
      </c>
      <c r="E300" s="4">
        <v>1</v>
      </c>
      <c r="F300" s="4">
        <v>0</v>
      </c>
      <c r="G300" s="4">
        <v>0</v>
      </c>
      <c r="H300" s="4">
        <v>0</v>
      </c>
      <c r="I300" s="4" t="s">
        <v>1</v>
      </c>
      <c r="K3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0.15744456137844737</v>
      </c>
    </row>
    <row r="301" spans="1:11" x14ac:dyDescent="0.3">
      <c r="A301" s="4">
        <v>35</v>
      </c>
      <c r="B301" s="4">
        <v>950000</v>
      </c>
      <c r="C301" s="4">
        <v>6</v>
      </c>
      <c r="D301" s="4">
        <v>0</v>
      </c>
      <c r="E301" s="4">
        <v>0</v>
      </c>
      <c r="F301" s="4">
        <v>0</v>
      </c>
      <c r="G301" s="4">
        <v>1</v>
      </c>
      <c r="H301" s="4">
        <v>0</v>
      </c>
      <c r="I301" s="4" t="s">
        <v>1</v>
      </c>
      <c r="K3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0.50717990592245188</v>
      </c>
    </row>
    <row r="302" spans="1:11" x14ac:dyDescent="0.3">
      <c r="A302" s="4">
        <v>28</v>
      </c>
      <c r="B302" s="4">
        <v>550000</v>
      </c>
      <c r="C302" s="4">
        <v>5</v>
      </c>
      <c r="D302" s="4">
        <v>0</v>
      </c>
      <c r="E302" s="4">
        <v>1</v>
      </c>
      <c r="F302" s="4">
        <v>1</v>
      </c>
      <c r="G302" s="4">
        <v>0</v>
      </c>
      <c r="H302" s="4">
        <v>0</v>
      </c>
      <c r="I302" s="4" t="s">
        <v>1</v>
      </c>
      <c r="K3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0.11490192519113707</v>
      </c>
    </row>
    <row r="303" spans="1:11" x14ac:dyDescent="0.3">
      <c r="A303" s="4">
        <v>25</v>
      </c>
      <c r="B303" s="4">
        <v>1400000</v>
      </c>
      <c r="C303" s="4">
        <v>3</v>
      </c>
      <c r="D303" s="4">
        <v>0</v>
      </c>
      <c r="E303" s="4">
        <v>1</v>
      </c>
      <c r="F303" s="4">
        <v>1</v>
      </c>
      <c r="G303" s="4">
        <v>1</v>
      </c>
      <c r="H303" s="4">
        <v>1</v>
      </c>
      <c r="I303" s="4" t="s">
        <v>1</v>
      </c>
      <c r="K3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0.7412721984526649</v>
      </c>
    </row>
    <row r="304" spans="1:11" x14ac:dyDescent="0.3">
      <c r="A304" s="4">
        <v>25</v>
      </c>
      <c r="B304" s="4">
        <v>1400000</v>
      </c>
      <c r="C304" s="4">
        <v>3</v>
      </c>
      <c r="D304" s="4">
        <v>0</v>
      </c>
      <c r="E304" s="4">
        <v>1</v>
      </c>
      <c r="F304" s="4">
        <v>0</v>
      </c>
      <c r="G304" s="4">
        <v>0</v>
      </c>
      <c r="H304" s="4">
        <v>1</v>
      </c>
      <c r="I304" s="4" t="s">
        <v>1</v>
      </c>
      <c r="K3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0.63523827656831577</v>
      </c>
    </row>
    <row r="305" spans="1:11" x14ac:dyDescent="0.3">
      <c r="A305" s="4">
        <v>33</v>
      </c>
      <c r="B305" s="4">
        <v>1400000</v>
      </c>
      <c r="C305" s="4">
        <v>2</v>
      </c>
      <c r="D305" s="4">
        <v>0</v>
      </c>
      <c r="E305" s="4">
        <v>1</v>
      </c>
      <c r="F305" s="4">
        <v>1</v>
      </c>
      <c r="G305" s="4">
        <v>0</v>
      </c>
      <c r="H305" s="4">
        <v>1</v>
      </c>
      <c r="I305" s="4" t="s">
        <v>1</v>
      </c>
      <c r="K3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0.74182947832657409</v>
      </c>
    </row>
    <row r="306" spans="1:11" x14ac:dyDescent="0.3">
      <c r="A306" s="4">
        <v>31</v>
      </c>
      <c r="B306" s="4">
        <v>1750000</v>
      </c>
      <c r="C306" s="4">
        <v>7</v>
      </c>
      <c r="D306" s="4">
        <v>0</v>
      </c>
      <c r="E306" s="4">
        <v>1</v>
      </c>
      <c r="F306" s="4">
        <v>0</v>
      </c>
      <c r="G306" s="4">
        <v>0</v>
      </c>
      <c r="H306" s="4">
        <v>0</v>
      </c>
      <c r="I306" s="4" t="s">
        <v>1</v>
      </c>
      <c r="K3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0.54280858853068581</v>
      </c>
    </row>
    <row r="307" spans="1:11" x14ac:dyDescent="0.3">
      <c r="A307" s="4">
        <v>33</v>
      </c>
      <c r="B307" s="4">
        <v>400000</v>
      </c>
      <c r="C307" s="4">
        <v>7</v>
      </c>
      <c r="D307" s="4">
        <v>1</v>
      </c>
      <c r="E307" s="4">
        <v>1</v>
      </c>
      <c r="F307" s="4">
        <v>1</v>
      </c>
      <c r="G307" s="4">
        <v>0</v>
      </c>
      <c r="H307" s="4">
        <v>0</v>
      </c>
      <c r="I307" s="4" t="s">
        <v>1</v>
      </c>
      <c r="K3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0.15082652785507325</v>
      </c>
    </row>
    <row r="308" spans="1:11" x14ac:dyDescent="0.3">
      <c r="A308" s="4">
        <v>29</v>
      </c>
      <c r="B308" s="4">
        <v>600000</v>
      </c>
      <c r="C308" s="4">
        <v>4</v>
      </c>
      <c r="D308" s="4">
        <v>0</v>
      </c>
      <c r="E308" s="4">
        <v>1</v>
      </c>
      <c r="F308" s="4">
        <v>0</v>
      </c>
      <c r="G308" s="4">
        <v>1</v>
      </c>
      <c r="H308" s="4">
        <v>0</v>
      </c>
      <c r="I308" s="4" t="s">
        <v>1</v>
      </c>
      <c r="K3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0.20290836796339756</v>
      </c>
    </row>
    <row r="309" spans="1:11" x14ac:dyDescent="0.3">
      <c r="A309" s="4">
        <v>30</v>
      </c>
      <c r="B309" s="4">
        <v>1450000</v>
      </c>
      <c r="C309" s="4">
        <v>7</v>
      </c>
      <c r="D309" s="4">
        <v>0</v>
      </c>
      <c r="E309" s="4">
        <v>0</v>
      </c>
      <c r="F309" s="4">
        <v>0</v>
      </c>
      <c r="G309" s="4">
        <v>1</v>
      </c>
      <c r="H309" s="4">
        <v>1</v>
      </c>
      <c r="I309" s="4" t="s">
        <v>1</v>
      </c>
      <c r="K3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0.95976598902616694</v>
      </c>
    </row>
    <row r="310" spans="1:11" x14ac:dyDescent="0.3">
      <c r="A310" s="4">
        <v>28</v>
      </c>
      <c r="B310" s="4">
        <v>1100000</v>
      </c>
      <c r="C310" s="4">
        <v>4</v>
      </c>
      <c r="D310" s="4">
        <v>0</v>
      </c>
      <c r="E310" s="4">
        <v>1</v>
      </c>
      <c r="F310" s="4">
        <v>1</v>
      </c>
      <c r="G310" s="4">
        <v>0</v>
      </c>
      <c r="H310" s="4">
        <v>0</v>
      </c>
      <c r="I310" s="4" t="s">
        <v>1</v>
      </c>
      <c r="K3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0.26600203666556688</v>
      </c>
    </row>
    <row r="311" spans="1:11" x14ac:dyDescent="0.3">
      <c r="A311" s="4">
        <v>34</v>
      </c>
      <c r="B311" s="4">
        <v>700000</v>
      </c>
      <c r="C311" s="4">
        <v>2</v>
      </c>
      <c r="D311" s="4">
        <v>0</v>
      </c>
      <c r="E311" s="4">
        <v>1</v>
      </c>
      <c r="F311" s="4">
        <v>0</v>
      </c>
      <c r="G311" s="4">
        <v>1</v>
      </c>
      <c r="H311" s="4">
        <v>0</v>
      </c>
      <c r="I311" s="4" t="s">
        <v>1</v>
      </c>
      <c r="K3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0.26712012972909677</v>
      </c>
    </row>
    <row r="312" spans="1:11" x14ac:dyDescent="0.3">
      <c r="A312" s="4">
        <v>28</v>
      </c>
      <c r="B312" s="4">
        <v>550000</v>
      </c>
      <c r="C312" s="4">
        <v>6</v>
      </c>
      <c r="D312" s="4">
        <v>0</v>
      </c>
      <c r="E312" s="4">
        <v>1</v>
      </c>
      <c r="F312" s="4">
        <v>1</v>
      </c>
      <c r="G312" s="4">
        <v>0</v>
      </c>
      <c r="H312" s="4">
        <v>0</v>
      </c>
      <c r="I312" s="4" t="s">
        <v>1</v>
      </c>
      <c r="K3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0.13216761755122736</v>
      </c>
    </row>
    <row r="313" spans="1:11" x14ac:dyDescent="0.3">
      <c r="A313" s="4">
        <v>27</v>
      </c>
      <c r="B313" s="4">
        <v>850000</v>
      </c>
      <c r="C313" s="4">
        <v>5</v>
      </c>
      <c r="D313" s="4">
        <v>1</v>
      </c>
      <c r="E313" s="4">
        <v>1</v>
      </c>
      <c r="F313" s="4">
        <v>0</v>
      </c>
      <c r="G313" s="4">
        <v>0</v>
      </c>
      <c r="H313" s="4">
        <v>0</v>
      </c>
      <c r="I313" s="4" t="s">
        <v>1</v>
      </c>
      <c r="K3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0.15744456137844737</v>
      </c>
    </row>
    <row r="314" spans="1:11" x14ac:dyDescent="0.3">
      <c r="A314" s="4">
        <v>31</v>
      </c>
      <c r="B314" s="4">
        <v>1400000</v>
      </c>
      <c r="C314" s="4">
        <v>4</v>
      </c>
      <c r="D314" s="4">
        <v>0</v>
      </c>
      <c r="E314" s="4">
        <v>1</v>
      </c>
      <c r="F314" s="4">
        <v>0</v>
      </c>
      <c r="G314" s="4">
        <v>1</v>
      </c>
      <c r="H314" s="4">
        <v>1</v>
      </c>
      <c r="I314" s="4" t="s">
        <v>1</v>
      </c>
      <c r="K3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0.82544830672093261</v>
      </c>
    </row>
    <row r="315" spans="1:11" x14ac:dyDescent="0.3">
      <c r="A315" s="4">
        <v>28</v>
      </c>
      <c r="B315" s="4">
        <v>700000</v>
      </c>
      <c r="C315" s="4">
        <v>4</v>
      </c>
      <c r="D315" s="4">
        <v>0</v>
      </c>
      <c r="E315" s="4">
        <v>1</v>
      </c>
      <c r="F315" s="4">
        <v>1</v>
      </c>
      <c r="G315" s="4">
        <v>0</v>
      </c>
      <c r="H315" s="4">
        <v>0</v>
      </c>
      <c r="I315" s="4" t="s">
        <v>1</v>
      </c>
      <c r="K3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0.14355417933137041</v>
      </c>
    </row>
    <row r="316" spans="1:11" x14ac:dyDescent="0.3">
      <c r="A316" s="4">
        <v>26</v>
      </c>
      <c r="B316" s="4">
        <v>1400000</v>
      </c>
      <c r="C316" s="4">
        <v>4</v>
      </c>
      <c r="D316" s="4">
        <v>0</v>
      </c>
      <c r="E316" s="4">
        <v>1</v>
      </c>
      <c r="F316" s="4">
        <v>0</v>
      </c>
      <c r="G316" s="4">
        <v>0</v>
      </c>
      <c r="H316" s="4">
        <v>1</v>
      </c>
      <c r="I316" s="4" t="s">
        <v>1</v>
      </c>
      <c r="K3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0.66613020535887235</v>
      </c>
    </row>
    <row r="317" spans="1:11" x14ac:dyDescent="0.3">
      <c r="A317" s="4">
        <v>34</v>
      </c>
      <c r="B317" s="4">
        <v>1300000</v>
      </c>
      <c r="C317" s="4">
        <v>6</v>
      </c>
      <c r="D317" s="4">
        <v>0</v>
      </c>
      <c r="E317" s="4">
        <v>1</v>
      </c>
      <c r="F317" s="4">
        <v>0</v>
      </c>
      <c r="G317" s="4">
        <v>0</v>
      </c>
      <c r="H317" s="4">
        <v>0</v>
      </c>
      <c r="I317" s="4" t="s">
        <v>1</v>
      </c>
      <c r="K3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0.42866776596102296</v>
      </c>
    </row>
    <row r="318" spans="1:11" x14ac:dyDescent="0.3">
      <c r="A318" s="4">
        <v>28</v>
      </c>
      <c r="B318" s="4">
        <v>300000</v>
      </c>
      <c r="C318" s="4">
        <v>4</v>
      </c>
      <c r="D318" s="4">
        <v>1</v>
      </c>
      <c r="E318" s="4">
        <v>1</v>
      </c>
      <c r="F318" s="4">
        <v>0</v>
      </c>
      <c r="G318" s="4">
        <v>0</v>
      </c>
      <c r="H318" s="4">
        <v>0</v>
      </c>
      <c r="I318" s="4" t="s">
        <v>1</v>
      </c>
      <c r="K3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-1.4560698385696874E-2</v>
      </c>
    </row>
    <row r="319" spans="1:11" x14ac:dyDescent="0.3">
      <c r="A319" s="4">
        <v>26</v>
      </c>
      <c r="B319" s="4">
        <v>1250000</v>
      </c>
      <c r="C319" s="4">
        <v>5</v>
      </c>
      <c r="D319" s="4">
        <v>0</v>
      </c>
      <c r="E319" s="4">
        <v>1</v>
      </c>
      <c r="F319" s="4">
        <v>0</v>
      </c>
      <c r="G319" s="4">
        <v>0</v>
      </c>
      <c r="H319" s="4">
        <v>0</v>
      </c>
      <c r="I319" s="4" t="s">
        <v>1</v>
      </c>
      <c r="K3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0.28708619999042906</v>
      </c>
    </row>
    <row r="320" spans="1:11" x14ac:dyDescent="0.3">
      <c r="A320" s="4">
        <v>29</v>
      </c>
      <c r="B320" s="4">
        <v>500000</v>
      </c>
      <c r="C320" s="4">
        <v>8</v>
      </c>
      <c r="D320" s="4">
        <v>0</v>
      </c>
      <c r="E320" s="4">
        <v>1</v>
      </c>
      <c r="F320" s="4">
        <v>0</v>
      </c>
      <c r="G320" s="4">
        <v>0</v>
      </c>
      <c r="H320" s="4">
        <v>0</v>
      </c>
      <c r="I320" s="4" t="s">
        <v>1</v>
      </c>
      <c r="K3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0.15017225386048005</v>
      </c>
    </row>
    <row r="321" spans="1:11" x14ac:dyDescent="0.3">
      <c r="A321" s="4">
        <v>31</v>
      </c>
      <c r="B321" s="4">
        <v>1250000</v>
      </c>
      <c r="C321" s="4">
        <v>5</v>
      </c>
      <c r="D321" s="4">
        <v>0</v>
      </c>
      <c r="E321" s="4">
        <v>1</v>
      </c>
      <c r="F321" s="4">
        <v>1</v>
      </c>
      <c r="G321" s="4">
        <v>0</v>
      </c>
      <c r="H321" s="4">
        <v>0</v>
      </c>
      <c r="I321" s="4" t="s">
        <v>1</v>
      </c>
      <c r="K3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0.37006438481737924</v>
      </c>
    </row>
    <row r="322" spans="1:11" x14ac:dyDescent="0.3">
      <c r="A322" s="4">
        <v>31</v>
      </c>
      <c r="B322" s="4">
        <v>400000</v>
      </c>
      <c r="C322" s="4">
        <v>4</v>
      </c>
      <c r="D322" s="4">
        <v>1</v>
      </c>
      <c r="E322" s="4">
        <v>0</v>
      </c>
      <c r="F322" s="4">
        <v>1</v>
      </c>
      <c r="G322" s="4">
        <v>0</v>
      </c>
      <c r="H322" s="4">
        <v>0</v>
      </c>
      <c r="I322" s="4" t="s">
        <v>1</v>
      </c>
      <c r="K3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0.15261783740252513</v>
      </c>
    </row>
    <row r="323" spans="1:11" x14ac:dyDescent="0.3">
      <c r="A323" s="4">
        <v>27</v>
      </c>
      <c r="B323" s="4">
        <v>350000</v>
      </c>
      <c r="C323" s="4">
        <v>4</v>
      </c>
      <c r="D323" s="4">
        <v>0</v>
      </c>
      <c r="E323" s="4">
        <v>0</v>
      </c>
      <c r="F323" s="4">
        <v>0</v>
      </c>
      <c r="G323" s="4">
        <v>0</v>
      </c>
      <c r="H323" s="4">
        <v>0</v>
      </c>
      <c r="I323" s="4" t="s">
        <v>1</v>
      </c>
      <c r="K3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8.8779924547518027E-2</v>
      </c>
    </row>
    <row r="324" spans="1:11" x14ac:dyDescent="0.3">
      <c r="A324" s="4">
        <v>28</v>
      </c>
      <c r="B324" s="4">
        <v>1100000</v>
      </c>
      <c r="C324" s="4">
        <v>6</v>
      </c>
      <c r="D324" s="4">
        <v>0</v>
      </c>
      <c r="E324" s="4">
        <v>1</v>
      </c>
      <c r="F324" s="4">
        <v>0</v>
      </c>
      <c r="G324" s="4">
        <v>0</v>
      </c>
      <c r="H324" s="4">
        <v>0</v>
      </c>
      <c r="I324" s="4" t="s">
        <v>1</v>
      </c>
      <c r="K3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0.28568641871112799</v>
      </c>
    </row>
    <row r="325" spans="1:11" x14ac:dyDescent="0.3">
      <c r="A325" s="4">
        <v>34</v>
      </c>
      <c r="B325" s="4">
        <v>1000000</v>
      </c>
      <c r="C325" s="4">
        <v>6</v>
      </c>
      <c r="D325" s="4">
        <v>0</v>
      </c>
      <c r="E325" s="4">
        <v>1</v>
      </c>
      <c r="F325" s="4">
        <v>0</v>
      </c>
      <c r="G325" s="4">
        <v>0</v>
      </c>
      <c r="H325" s="4">
        <v>0</v>
      </c>
      <c r="I325" s="4" t="s">
        <v>1</v>
      </c>
      <c r="K3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0.33683187296037564</v>
      </c>
    </row>
    <row r="326" spans="1:11" x14ac:dyDescent="0.3">
      <c r="A326" s="4">
        <v>26</v>
      </c>
      <c r="B326" s="4">
        <v>1400000</v>
      </c>
      <c r="C326" s="4">
        <v>5</v>
      </c>
      <c r="D326" s="4">
        <v>0</v>
      </c>
      <c r="E326" s="4">
        <v>1</v>
      </c>
      <c r="F326" s="4">
        <v>0</v>
      </c>
      <c r="G326" s="4">
        <v>0</v>
      </c>
      <c r="H326" s="4">
        <v>1</v>
      </c>
      <c r="I326" s="4" t="s">
        <v>1</v>
      </c>
      <c r="K3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0.68339589771896259</v>
      </c>
    </row>
    <row r="327" spans="1:11" x14ac:dyDescent="0.3">
      <c r="A327" s="4">
        <v>34</v>
      </c>
      <c r="B327" s="4">
        <v>1500000</v>
      </c>
      <c r="C327" s="4">
        <v>4</v>
      </c>
      <c r="D327" s="4">
        <v>0</v>
      </c>
      <c r="E327" s="4">
        <v>1</v>
      </c>
      <c r="F327" s="4">
        <v>0</v>
      </c>
      <c r="G327" s="4">
        <v>1</v>
      </c>
      <c r="H327" s="4">
        <v>1</v>
      </c>
      <c r="I327" s="4" t="s">
        <v>1</v>
      </c>
      <c r="K3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0.89693898034587993</v>
      </c>
    </row>
    <row r="328" spans="1:11" x14ac:dyDescent="0.3">
      <c r="A328" s="4">
        <v>27</v>
      </c>
      <c r="B328" s="4">
        <v>500000</v>
      </c>
      <c r="C328" s="4">
        <v>8</v>
      </c>
      <c r="D328" s="4">
        <v>1</v>
      </c>
      <c r="E328" s="4">
        <v>1</v>
      </c>
      <c r="F328" s="4">
        <v>0</v>
      </c>
      <c r="G328" s="4">
        <v>0</v>
      </c>
      <c r="H328" s="4">
        <v>0</v>
      </c>
      <c r="I328" s="4" t="s">
        <v>1</v>
      </c>
      <c r="K3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0.1020997632912964</v>
      </c>
    </row>
    <row r="329" spans="1:11" x14ac:dyDescent="0.3">
      <c r="A329" s="4">
        <v>35</v>
      </c>
      <c r="B329" s="4">
        <v>950000</v>
      </c>
      <c r="C329" s="4">
        <v>9</v>
      </c>
      <c r="D329" s="4">
        <v>0</v>
      </c>
      <c r="E329" s="4">
        <v>0</v>
      </c>
      <c r="F329" s="4">
        <v>0</v>
      </c>
      <c r="G329" s="4">
        <v>0</v>
      </c>
      <c r="H329" s="4">
        <v>0</v>
      </c>
      <c r="I329" s="4" t="s">
        <v>1</v>
      </c>
      <c r="K3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0.4677900637929932</v>
      </c>
    </row>
    <row r="330" spans="1:11" x14ac:dyDescent="0.3">
      <c r="A330" s="4">
        <v>29</v>
      </c>
      <c r="B330" s="4">
        <v>1200000</v>
      </c>
      <c r="C330" s="4">
        <v>5</v>
      </c>
      <c r="D330" s="4">
        <v>0</v>
      </c>
      <c r="E330" s="4">
        <v>1</v>
      </c>
      <c r="F330" s="4">
        <v>0</v>
      </c>
      <c r="G330" s="4">
        <v>0</v>
      </c>
      <c r="H330" s="4">
        <v>0</v>
      </c>
      <c r="I330" s="4" t="s">
        <v>1</v>
      </c>
      <c r="K3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0.31265892711505283</v>
      </c>
    </row>
    <row r="331" spans="1:11" x14ac:dyDescent="0.3">
      <c r="A331" s="4">
        <v>25</v>
      </c>
      <c r="B331" s="4">
        <v>600000</v>
      </c>
      <c r="C331" s="4">
        <v>4</v>
      </c>
      <c r="D331" s="4">
        <v>0</v>
      </c>
      <c r="E331" s="4">
        <v>0</v>
      </c>
      <c r="F331" s="4">
        <v>0</v>
      </c>
      <c r="G331" s="4">
        <v>1</v>
      </c>
      <c r="H331" s="4">
        <v>0</v>
      </c>
      <c r="I331" s="4" t="s">
        <v>1</v>
      </c>
      <c r="K3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0.22924428173018807</v>
      </c>
    </row>
    <row r="332" spans="1:11" x14ac:dyDescent="0.3">
      <c r="A332" s="4">
        <v>26</v>
      </c>
      <c r="B332" s="4">
        <v>550000</v>
      </c>
      <c r="C332" s="4">
        <v>5</v>
      </c>
      <c r="D332" s="4">
        <v>1</v>
      </c>
      <c r="E332" s="4">
        <v>1</v>
      </c>
      <c r="F332" s="4">
        <v>0</v>
      </c>
      <c r="G332" s="4">
        <v>0</v>
      </c>
      <c r="H332" s="4">
        <v>0</v>
      </c>
      <c r="I332" s="4" t="s">
        <v>1</v>
      </c>
      <c r="K3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5.1982431947333943E-2</v>
      </c>
    </row>
    <row r="333" spans="1:11" x14ac:dyDescent="0.3">
      <c r="A333" s="4">
        <v>26</v>
      </c>
      <c r="B333" s="4">
        <v>1400000</v>
      </c>
      <c r="C333" s="4">
        <v>4</v>
      </c>
      <c r="D333" s="4">
        <v>0</v>
      </c>
      <c r="E333" s="4">
        <v>1</v>
      </c>
      <c r="F333" s="4">
        <v>1</v>
      </c>
      <c r="G333" s="4">
        <v>0</v>
      </c>
      <c r="H333" s="4">
        <v>1</v>
      </c>
      <c r="I333" s="4" t="s">
        <v>1</v>
      </c>
      <c r="K3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0.68097720803349182</v>
      </c>
    </row>
    <row r="334" spans="1:11" x14ac:dyDescent="0.3">
      <c r="A334" s="4">
        <v>29</v>
      </c>
      <c r="B334" s="4">
        <v>350000</v>
      </c>
      <c r="C334" s="4">
        <v>9</v>
      </c>
      <c r="D334" s="4">
        <v>0</v>
      </c>
      <c r="E334" s="4">
        <v>1</v>
      </c>
      <c r="F334" s="4">
        <v>1</v>
      </c>
      <c r="G334" s="4">
        <v>0</v>
      </c>
      <c r="H334" s="4">
        <v>0</v>
      </c>
      <c r="I334" s="4" t="s">
        <v>1</v>
      </c>
      <c r="K3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0.13636700239486615</v>
      </c>
    </row>
    <row r="335" spans="1:11" x14ac:dyDescent="0.3">
      <c r="A335" s="4">
        <v>28</v>
      </c>
      <c r="B335" s="4">
        <v>300000</v>
      </c>
      <c r="C335" s="4">
        <v>3</v>
      </c>
      <c r="D335" s="4">
        <v>1</v>
      </c>
      <c r="E335" s="4">
        <v>1</v>
      </c>
      <c r="F335" s="4">
        <v>1</v>
      </c>
      <c r="G335" s="4">
        <v>0</v>
      </c>
      <c r="H335" s="4">
        <v>0</v>
      </c>
      <c r="I335" s="4" t="s">
        <v>1</v>
      </c>
      <c r="K3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-1.6979388071167729E-2</v>
      </c>
    </row>
    <row r="336" spans="1:11" x14ac:dyDescent="0.3">
      <c r="A336" s="4">
        <v>31</v>
      </c>
      <c r="B336" s="4">
        <v>400000</v>
      </c>
      <c r="C336" s="4">
        <v>7</v>
      </c>
      <c r="D336" s="4">
        <v>1</v>
      </c>
      <c r="E336" s="4">
        <v>1</v>
      </c>
      <c r="F336" s="4">
        <v>0</v>
      </c>
      <c r="G336" s="4">
        <v>0</v>
      </c>
      <c r="H336" s="4">
        <v>0</v>
      </c>
      <c r="I336" s="4" t="s">
        <v>1</v>
      </c>
      <c r="K3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0.10872705231952155</v>
      </c>
    </row>
    <row r="337" spans="1:11" x14ac:dyDescent="0.3">
      <c r="A337" s="4">
        <v>27</v>
      </c>
      <c r="B337" s="4">
        <v>850000</v>
      </c>
      <c r="C337" s="4">
        <v>4</v>
      </c>
      <c r="D337" s="4">
        <v>1</v>
      </c>
      <c r="E337" s="4">
        <v>1</v>
      </c>
      <c r="F337" s="4">
        <v>1</v>
      </c>
      <c r="G337" s="4">
        <v>1</v>
      </c>
      <c r="H337" s="4">
        <v>1</v>
      </c>
      <c r="I337" s="4" t="s">
        <v>1</v>
      </c>
      <c r="K3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0.59660454213091596</v>
      </c>
    </row>
    <row r="338" spans="1:11" x14ac:dyDescent="0.3">
      <c r="A338" s="4">
        <v>25</v>
      </c>
      <c r="B338" s="4">
        <v>1150000</v>
      </c>
      <c r="C338" s="4">
        <v>4</v>
      </c>
      <c r="D338" s="4">
        <v>0</v>
      </c>
      <c r="E338" s="4">
        <v>0</v>
      </c>
      <c r="F338" s="4">
        <v>0</v>
      </c>
      <c r="G338" s="4">
        <v>0</v>
      </c>
      <c r="H338" s="4">
        <v>0</v>
      </c>
      <c r="I338" s="4" t="s">
        <v>1</v>
      </c>
      <c r="K3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0.30642316635497857</v>
      </c>
    </row>
    <row r="339" spans="1:11" x14ac:dyDescent="0.3">
      <c r="A339" s="4">
        <v>28</v>
      </c>
      <c r="B339" s="4">
        <v>1150000</v>
      </c>
      <c r="C339" s="4">
        <v>4</v>
      </c>
      <c r="D339" s="4">
        <v>0</v>
      </c>
      <c r="E339" s="4">
        <v>1</v>
      </c>
      <c r="F339" s="4">
        <v>0</v>
      </c>
      <c r="G339" s="4">
        <v>0</v>
      </c>
      <c r="H339" s="4">
        <v>0</v>
      </c>
      <c r="I339" s="4" t="s">
        <v>1</v>
      </c>
      <c r="K3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0.26646101615772189</v>
      </c>
    </row>
    <row r="340" spans="1:11" x14ac:dyDescent="0.3">
      <c r="A340" s="4">
        <v>27</v>
      </c>
      <c r="B340" s="4">
        <v>850000</v>
      </c>
      <c r="C340" s="4">
        <v>5</v>
      </c>
      <c r="D340" s="4">
        <v>1</v>
      </c>
      <c r="E340" s="4">
        <v>1</v>
      </c>
      <c r="F340" s="4">
        <v>0</v>
      </c>
      <c r="G340" s="4">
        <v>1</v>
      </c>
      <c r="H340" s="4">
        <v>0</v>
      </c>
      <c r="I340" s="4" t="s">
        <v>1</v>
      </c>
      <c r="K3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0.24863148058817697</v>
      </c>
    </row>
    <row r="341" spans="1:11" x14ac:dyDescent="0.3">
      <c r="A341" s="4">
        <v>25</v>
      </c>
      <c r="B341" s="4">
        <v>1400000</v>
      </c>
      <c r="C341" s="4">
        <v>3</v>
      </c>
      <c r="D341" s="4">
        <v>0</v>
      </c>
      <c r="E341" s="4">
        <v>1</v>
      </c>
      <c r="F341" s="4">
        <v>0</v>
      </c>
      <c r="G341" s="4">
        <v>0</v>
      </c>
      <c r="H341" s="4">
        <v>1</v>
      </c>
      <c r="I341" s="4" t="s">
        <v>1</v>
      </c>
      <c r="K3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0.63523827656831577</v>
      </c>
    </row>
    <row r="342" spans="1:11" x14ac:dyDescent="0.3">
      <c r="A342" s="4">
        <v>32</v>
      </c>
      <c r="B342" s="4">
        <v>800000</v>
      </c>
      <c r="C342" s="4">
        <v>9</v>
      </c>
      <c r="D342" s="4">
        <v>1</v>
      </c>
      <c r="E342" s="4">
        <v>1</v>
      </c>
      <c r="F342" s="4">
        <v>0</v>
      </c>
      <c r="G342" s="4">
        <v>0</v>
      </c>
      <c r="H342" s="4">
        <v>1</v>
      </c>
      <c r="I342" s="4" t="s">
        <v>1</v>
      </c>
      <c r="K3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0.62972428203257458</v>
      </c>
    </row>
    <row r="343" spans="1:11" x14ac:dyDescent="0.3">
      <c r="A343" s="4">
        <v>31</v>
      </c>
      <c r="B343" s="4">
        <v>1300000</v>
      </c>
      <c r="C343" s="4">
        <v>4</v>
      </c>
      <c r="D343" s="4">
        <v>1</v>
      </c>
      <c r="E343" s="4">
        <v>1</v>
      </c>
      <c r="F343" s="4">
        <v>1</v>
      </c>
      <c r="G343" s="4">
        <v>0</v>
      </c>
      <c r="H343" s="4">
        <v>0</v>
      </c>
      <c r="I343" s="4" t="s">
        <v>1</v>
      </c>
      <c r="K3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0.34728465691581206</v>
      </c>
    </row>
    <row r="344" spans="1:11" x14ac:dyDescent="0.3">
      <c r="A344" s="4">
        <v>28</v>
      </c>
      <c r="B344" s="4">
        <v>700000</v>
      </c>
      <c r="C344" s="4">
        <v>4</v>
      </c>
      <c r="D344" s="4">
        <v>0</v>
      </c>
      <c r="E344" s="4">
        <v>1</v>
      </c>
      <c r="F344" s="4">
        <v>0</v>
      </c>
      <c r="G344" s="4">
        <v>0</v>
      </c>
      <c r="H344" s="4">
        <v>0</v>
      </c>
      <c r="I344" s="4" t="s">
        <v>1</v>
      </c>
      <c r="K3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0.12870717665675097</v>
      </c>
    </row>
    <row r="345" spans="1:11" x14ac:dyDescent="0.3">
      <c r="A345" s="4">
        <v>25</v>
      </c>
      <c r="B345" s="4">
        <v>1150000</v>
      </c>
      <c r="C345" s="4">
        <v>5</v>
      </c>
      <c r="D345" s="4">
        <v>0</v>
      </c>
      <c r="E345" s="4">
        <v>0</v>
      </c>
      <c r="F345" s="4">
        <v>0</v>
      </c>
      <c r="G345" s="4">
        <v>1</v>
      </c>
      <c r="H345" s="4">
        <v>0</v>
      </c>
      <c r="I345" s="4" t="s">
        <v>1</v>
      </c>
      <c r="K3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0.41487577792479841</v>
      </c>
    </row>
    <row r="346" spans="1:11" x14ac:dyDescent="0.3">
      <c r="A346" s="4">
        <v>25</v>
      </c>
      <c r="B346" s="4">
        <v>1150000</v>
      </c>
      <c r="C346" s="4">
        <v>3</v>
      </c>
      <c r="D346" s="4">
        <v>0</v>
      </c>
      <c r="E346" s="4">
        <v>0</v>
      </c>
      <c r="F346" s="4">
        <v>1</v>
      </c>
      <c r="G346" s="4">
        <v>0</v>
      </c>
      <c r="H346" s="4">
        <v>0</v>
      </c>
      <c r="I346" s="4" t="s">
        <v>1</v>
      </c>
      <c r="K3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0.30400447666950769</v>
      </c>
    </row>
    <row r="347" spans="1:11" x14ac:dyDescent="0.3">
      <c r="A347" s="4">
        <v>31</v>
      </c>
      <c r="B347" s="4">
        <v>300000</v>
      </c>
      <c r="C347" s="4">
        <v>3</v>
      </c>
      <c r="D347" s="4">
        <v>1</v>
      </c>
      <c r="E347" s="4">
        <v>0</v>
      </c>
      <c r="F347" s="4">
        <v>0</v>
      </c>
      <c r="G347" s="4">
        <v>0</v>
      </c>
      <c r="H347" s="4">
        <v>0</v>
      </c>
      <c r="I347" s="4" t="s">
        <v>1</v>
      </c>
      <c r="K3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8.9893178034266275E-2</v>
      </c>
    </row>
    <row r="348" spans="1:11" x14ac:dyDescent="0.3">
      <c r="A348" s="4">
        <v>34</v>
      </c>
      <c r="B348" s="4">
        <v>1000000</v>
      </c>
      <c r="C348" s="4">
        <v>3</v>
      </c>
      <c r="D348" s="4">
        <v>0</v>
      </c>
      <c r="E348" s="4">
        <v>1</v>
      </c>
      <c r="F348" s="4">
        <v>1</v>
      </c>
      <c r="G348" s="4">
        <v>0</v>
      </c>
      <c r="H348" s="4">
        <v>0</v>
      </c>
      <c r="I348" s="4" t="s">
        <v>1</v>
      </c>
      <c r="K3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0.29988179855472419</v>
      </c>
    </row>
    <row r="349" spans="1:11" x14ac:dyDescent="0.3">
      <c r="A349" s="4">
        <v>29</v>
      </c>
      <c r="B349" s="4">
        <v>1200000</v>
      </c>
      <c r="C349" s="4">
        <v>9</v>
      </c>
      <c r="D349" s="4">
        <v>0</v>
      </c>
      <c r="E349" s="4">
        <v>1</v>
      </c>
      <c r="F349" s="4">
        <v>0</v>
      </c>
      <c r="G349" s="4">
        <v>0</v>
      </c>
      <c r="H349" s="4">
        <v>0</v>
      </c>
      <c r="I349" s="4" t="s">
        <v>1</v>
      </c>
      <c r="K3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0.38172169655541405</v>
      </c>
    </row>
    <row r="350" spans="1:11" x14ac:dyDescent="0.3">
      <c r="A350" s="4">
        <v>32</v>
      </c>
      <c r="B350" s="4">
        <v>850000</v>
      </c>
      <c r="C350" s="4">
        <v>3</v>
      </c>
      <c r="D350" s="4">
        <v>1</v>
      </c>
      <c r="E350" s="4">
        <v>1</v>
      </c>
      <c r="F350" s="4">
        <v>0</v>
      </c>
      <c r="G350" s="4">
        <v>0</v>
      </c>
      <c r="H350" s="4">
        <v>0</v>
      </c>
      <c r="I350" s="4" t="s">
        <v>1</v>
      </c>
      <c r="K3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0.19104435881059739</v>
      </c>
    </row>
    <row r="351" spans="1:11" x14ac:dyDescent="0.3">
      <c r="A351" s="4">
        <v>31</v>
      </c>
      <c r="B351" s="4">
        <v>1250000</v>
      </c>
      <c r="C351" s="4">
        <v>4</v>
      </c>
      <c r="D351" s="4">
        <v>0</v>
      </c>
      <c r="E351" s="4">
        <v>1</v>
      </c>
      <c r="F351" s="4">
        <v>0</v>
      </c>
      <c r="G351" s="4">
        <v>0</v>
      </c>
      <c r="H351" s="4">
        <v>0</v>
      </c>
      <c r="I351" s="4" t="s">
        <v>1</v>
      </c>
      <c r="K3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0.33795168978266943</v>
      </c>
    </row>
    <row r="352" spans="1:11" x14ac:dyDescent="0.3">
      <c r="A352" s="4">
        <v>25</v>
      </c>
      <c r="B352" s="4">
        <v>1400000</v>
      </c>
      <c r="C352" s="4">
        <v>3</v>
      </c>
      <c r="D352" s="4">
        <v>0</v>
      </c>
      <c r="E352" s="4">
        <v>1</v>
      </c>
      <c r="F352" s="4">
        <v>0</v>
      </c>
      <c r="G352" s="4">
        <v>1</v>
      </c>
      <c r="H352" s="4">
        <v>1</v>
      </c>
      <c r="I352" s="4" t="s">
        <v>1</v>
      </c>
      <c r="K3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0.72642519577804543</v>
      </c>
    </row>
    <row r="353" spans="1:11" x14ac:dyDescent="0.3">
      <c r="A353" s="4">
        <v>34</v>
      </c>
      <c r="B353" s="4">
        <v>1300000</v>
      </c>
      <c r="C353" s="4">
        <v>3</v>
      </c>
      <c r="D353" s="4">
        <v>0</v>
      </c>
      <c r="E353" s="4">
        <v>1</v>
      </c>
      <c r="F353" s="4">
        <v>0</v>
      </c>
      <c r="G353" s="4">
        <v>0</v>
      </c>
      <c r="H353" s="4">
        <v>0</v>
      </c>
      <c r="I353" s="4" t="s">
        <v>1</v>
      </c>
      <c r="K3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0.37687068888075204</v>
      </c>
    </row>
    <row r="354" spans="1:11" x14ac:dyDescent="0.3">
      <c r="A354" s="4">
        <v>28</v>
      </c>
      <c r="B354" s="4">
        <v>750000</v>
      </c>
      <c r="C354" s="4">
        <v>5</v>
      </c>
      <c r="D354" s="4">
        <v>0</v>
      </c>
      <c r="E354" s="4">
        <v>1</v>
      </c>
      <c r="F354" s="4">
        <v>0</v>
      </c>
      <c r="G354" s="4">
        <v>0</v>
      </c>
      <c r="H354" s="4">
        <v>0</v>
      </c>
      <c r="I354" s="4" t="s">
        <v>1</v>
      </c>
      <c r="K3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0.16127885118361579</v>
      </c>
    </row>
    <row r="355" spans="1:11" x14ac:dyDescent="0.3">
      <c r="A355" s="4">
        <v>29</v>
      </c>
      <c r="B355" s="4">
        <v>900000</v>
      </c>
      <c r="C355" s="4">
        <v>7</v>
      </c>
      <c r="D355" s="4">
        <v>0</v>
      </c>
      <c r="E355" s="4">
        <v>1</v>
      </c>
      <c r="F355" s="4">
        <v>0</v>
      </c>
      <c r="G355" s="4">
        <v>0</v>
      </c>
      <c r="H355" s="4">
        <v>0</v>
      </c>
      <c r="I355" s="4" t="s">
        <v>1</v>
      </c>
      <c r="K3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0.25535441883458621</v>
      </c>
    </row>
    <row r="356" spans="1:11" x14ac:dyDescent="0.3">
      <c r="A356" s="4">
        <v>30</v>
      </c>
      <c r="B356" s="4">
        <v>550000</v>
      </c>
      <c r="C356" s="4">
        <v>4</v>
      </c>
      <c r="D356" s="4">
        <v>0</v>
      </c>
      <c r="E356" s="4">
        <v>0</v>
      </c>
      <c r="F356" s="4">
        <v>0</v>
      </c>
      <c r="G356" s="4">
        <v>0</v>
      </c>
      <c r="H356" s="4">
        <v>0</v>
      </c>
      <c r="I356" s="4" t="s">
        <v>1</v>
      </c>
      <c r="K3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0.19088256250601465</v>
      </c>
    </row>
    <row r="357" spans="1:11" x14ac:dyDescent="0.3">
      <c r="A357" s="4">
        <v>28</v>
      </c>
      <c r="B357" s="4">
        <v>800000</v>
      </c>
      <c r="C357" s="4">
        <v>3</v>
      </c>
      <c r="D357" s="4">
        <v>0</v>
      </c>
      <c r="E357" s="4">
        <v>1</v>
      </c>
      <c r="F357" s="4">
        <v>1</v>
      </c>
      <c r="G357" s="4">
        <v>0</v>
      </c>
      <c r="H357" s="4">
        <v>0</v>
      </c>
      <c r="I357" s="4" t="s">
        <v>1</v>
      </c>
      <c r="K3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0.15690045130482924</v>
      </c>
    </row>
    <row r="358" spans="1:11" x14ac:dyDescent="0.3">
      <c r="A358" s="4">
        <v>32</v>
      </c>
      <c r="B358" s="4">
        <v>850000</v>
      </c>
      <c r="C358" s="4">
        <v>3</v>
      </c>
      <c r="D358" s="4">
        <v>1</v>
      </c>
      <c r="E358" s="4">
        <v>1</v>
      </c>
      <c r="F358" s="4">
        <v>0</v>
      </c>
      <c r="G358" s="4">
        <v>1</v>
      </c>
      <c r="H358" s="4">
        <v>0</v>
      </c>
      <c r="I358" s="4" t="s">
        <v>1</v>
      </c>
      <c r="K3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0.28223127802032699</v>
      </c>
    </row>
    <row r="359" spans="1:11" x14ac:dyDescent="0.3">
      <c r="A359" s="4">
        <v>26</v>
      </c>
      <c r="B359" s="4">
        <v>500000</v>
      </c>
      <c r="C359" s="4">
        <v>2</v>
      </c>
      <c r="D359" s="4">
        <v>0</v>
      </c>
      <c r="E359" s="4">
        <v>1</v>
      </c>
      <c r="F359" s="4">
        <v>1</v>
      </c>
      <c r="G359" s="4">
        <v>0</v>
      </c>
      <c r="H359" s="4">
        <v>0</v>
      </c>
      <c r="I359" s="4" t="s">
        <v>1</v>
      </c>
      <c r="K3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2.0546393083159371E-2</v>
      </c>
    </row>
    <row r="360" spans="1:11" x14ac:dyDescent="0.3">
      <c r="A360" s="4">
        <v>31</v>
      </c>
      <c r="B360" s="4">
        <v>500000</v>
      </c>
      <c r="C360" s="4">
        <v>2</v>
      </c>
      <c r="D360" s="4">
        <v>0</v>
      </c>
      <c r="E360" s="4">
        <v>1</v>
      </c>
      <c r="F360" s="4">
        <v>0</v>
      </c>
      <c r="G360" s="4">
        <v>0</v>
      </c>
      <c r="H360" s="4">
        <v>0</v>
      </c>
      <c r="I360" s="4" t="s">
        <v>1</v>
      </c>
      <c r="K3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7.3830572560870569E-2</v>
      </c>
    </row>
    <row r="361" spans="1:11" x14ac:dyDescent="0.3">
      <c r="A361" s="4">
        <v>30</v>
      </c>
      <c r="B361" s="4">
        <v>500000</v>
      </c>
      <c r="C361" s="4">
        <v>8</v>
      </c>
      <c r="D361" s="4">
        <v>0</v>
      </c>
      <c r="E361" s="4">
        <v>0</v>
      </c>
      <c r="F361" s="4">
        <v>0</v>
      </c>
      <c r="G361" s="4">
        <v>0</v>
      </c>
      <c r="H361" s="4">
        <v>0</v>
      </c>
      <c r="I361" s="4" t="s">
        <v>1</v>
      </c>
      <c r="K3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0.24463934977960128</v>
      </c>
    </row>
    <row r="362" spans="1:11" x14ac:dyDescent="0.3">
      <c r="A362" s="4">
        <v>25</v>
      </c>
      <c r="B362" s="4">
        <v>1350000</v>
      </c>
      <c r="C362" s="4">
        <v>6</v>
      </c>
      <c r="D362" s="4">
        <v>0</v>
      </c>
      <c r="E362" s="4">
        <v>0</v>
      </c>
      <c r="F362" s="4">
        <v>0</v>
      </c>
      <c r="G362" s="4">
        <v>0</v>
      </c>
      <c r="H362" s="4">
        <v>1</v>
      </c>
      <c r="I362" s="4" t="s">
        <v>1</v>
      </c>
      <c r="K3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0.75257023097046716</v>
      </c>
    </row>
    <row r="363" spans="1:11" x14ac:dyDescent="0.3">
      <c r="A363" s="4">
        <v>28</v>
      </c>
      <c r="B363" s="4">
        <v>1100000</v>
      </c>
      <c r="C363" s="4">
        <v>4</v>
      </c>
      <c r="D363" s="4">
        <v>0</v>
      </c>
      <c r="E363" s="4">
        <v>1</v>
      </c>
      <c r="F363" s="4">
        <v>1</v>
      </c>
      <c r="G363" s="4">
        <v>0</v>
      </c>
      <c r="H363" s="4">
        <v>0</v>
      </c>
      <c r="I363" s="4" t="s">
        <v>1</v>
      </c>
      <c r="K3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0.26600203666556688</v>
      </c>
    </row>
    <row r="364" spans="1:11" x14ac:dyDescent="0.3">
      <c r="A364" s="4">
        <v>33</v>
      </c>
      <c r="B364" s="4">
        <v>400000</v>
      </c>
      <c r="C364" s="4">
        <v>5</v>
      </c>
      <c r="D364" s="4">
        <v>1</v>
      </c>
      <c r="E364" s="4">
        <v>1</v>
      </c>
      <c r="F364" s="4">
        <v>1</v>
      </c>
      <c r="G364" s="4">
        <v>0</v>
      </c>
      <c r="H364" s="4">
        <v>0</v>
      </c>
      <c r="I364" s="4" t="s">
        <v>1</v>
      </c>
      <c r="K3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0.11629514313489264</v>
      </c>
    </row>
    <row r="365" spans="1:11" x14ac:dyDescent="0.3">
      <c r="A365" s="4">
        <v>31</v>
      </c>
      <c r="B365" s="4">
        <v>1350000</v>
      </c>
      <c r="C365" s="4">
        <v>4</v>
      </c>
      <c r="D365" s="4">
        <v>0</v>
      </c>
      <c r="E365" s="4">
        <v>1</v>
      </c>
      <c r="F365" s="4">
        <v>0</v>
      </c>
      <c r="G365" s="4">
        <v>0</v>
      </c>
      <c r="H365" s="4">
        <v>1</v>
      </c>
      <c r="I365" s="4" t="s">
        <v>1</v>
      </c>
      <c r="K3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0.71895540534442837</v>
      </c>
    </row>
    <row r="366" spans="1:11" x14ac:dyDescent="0.3">
      <c r="A366" s="4">
        <v>25</v>
      </c>
      <c r="B366" s="4">
        <v>500000</v>
      </c>
      <c r="C366" s="4">
        <v>5</v>
      </c>
      <c r="D366" s="4">
        <v>0</v>
      </c>
      <c r="E366" s="4">
        <v>1</v>
      </c>
      <c r="F366" s="4">
        <v>1</v>
      </c>
      <c r="G366" s="4">
        <v>0</v>
      </c>
      <c r="H366" s="4">
        <v>0</v>
      </c>
      <c r="I366" s="4" t="s">
        <v>1</v>
      </c>
      <c r="K3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5.8717233732964079E-2</v>
      </c>
    </row>
    <row r="367" spans="1:11" x14ac:dyDescent="0.3">
      <c r="A367" s="4">
        <v>29</v>
      </c>
      <c r="B367" s="4">
        <v>900000</v>
      </c>
      <c r="C367" s="4">
        <v>7</v>
      </c>
      <c r="D367" s="4">
        <v>0</v>
      </c>
      <c r="E367" s="4">
        <v>1</v>
      </c>
      <c r="F367" s="4">
        <v>0</v>
      </c>
      <c r="G367" s="4">
        <v>0</v>
      </c>
      <c r="H367" s="4">
        <v>0</v>
      </c>
      <c r="I367" s="4" t="s">
        <v>1</v>
      </c>
      <c r="K3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0.25535441883458621</v>
      </c>
    </row>
    <row r="368" spans="1:11" x14ac:dyDescent="0.3">
      <c r="A368" s="4">
        <v>33</v>
      </c>
      <c r="B368" s="4">
        <v>1100000</v>
      </c>
      <c r="C368" s="4">
        <v>2</v>
      </c>
      <c r="D368" s="4">
        <v>1</v>
      </c>
      <c r="E368" s="4">
        <v>1</v>
      </c>
      <c r="F368" s="4">
        <v>1</v>
      </c>
      <c r="G368" s="4">
        <v>0</v>
      </c>
      <c r="H368" s="4">
        <v>1</v>
      </c>
      <c r="I368" s="4" t="s">
        <v>1</v>
      </c>
      <c r="K3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0.62917356761767529</v>
      </c>
    </row>
    <row r="369" spans="1:11" x14ac:dyDescent="0.3">
      <c r="A369" s="4">
        <v>25</v>
      </c>
      <c r="B369" s="4">
        <v>600000</v>
      </c>
      <c r="C369" s="4">
        <v>4</v>
      </c>
      <c r="D369" s="4">
        <v>0</v>
      </c>
      <c r="E369" s="4">
        <v>0</v>
      </c>
      <c r="F369" s="4">
        <v>0</v>
      </c>
      <c r="G369" s="4">
        <v>1</v>
      </c>
      <c r="H369" s="4">
        <v>1</v>
      </c>
      <c r="I369" s="4" t="s">
        <v>1</v>
      </c>
      <c r="K3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0.57963603295839794</v>
      </c>
    </row>
    <row r="370" spans="1:11" x14ac:dyDescent="0.3">
      <c r="A370" s="4">
        <v>29</v>
      </c>
      <c r="B370" s="4">
        <v>1200000</v>
      </c>
      <c r="C370" s="4">
        <v>7</v>
      </c>
      <c r="D370" s="4">
        <v>0</v>
      </c>
      <c r="E370" s="4">
        <v>1</v>
      </c>
      <c r="F370" s="4">
        <v>1</v>
      </c>
      <c r="G370" s="4">
        <v>0</v>
      </c>
      <c r="H370" s="4">
        <v>0</v>
      </c>
      <c r="I370" s="4" t="s">
        <v>1</v>
      </c>
      <c r="K3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0.36203731450985294</v>
      </c>
    </row>
    <row r="371" spans="1:11" x14ac:dyDescent="0.3">
      <c r="A371" s="4">
        <v>34</v>
      </c>
      <c r="B371" s="4">
        <v>1050000</v>
      </c>
      <c r="C371" s="4">
        <v>4</v>
      </c>
      <c r="D371" s="4">
        <v>0</v>
      </c>
      <c r="E371" s="4">
        <v>1</v>
      </c>
      <c r="F371" s="4">
        <v>0</v>
      </c>
      <c r="G371" s="4">
        <v>0</v>
      </c>
      <c r="H371" s="4">
        <v>0</v>
      </c>
      <c r="I371" s="4" t="s">
        <v>1</v>
      </c>
      <c r="K3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0.31760647040696954</v>
      </c>
    </row>
    <row r="372" spans="1:11" x14ac:dyDescent="0.3">
      <c r="A372" s="4">
        <v>31</v>
      </c>
      <c r="B372" s="4">
        <v>400000</v>
      </c>
      <c r="C372" s="4">
        <v>5</v>
      </c>
      <c r="D372" s="4">
        <v>1</v>
      </c>
      <c r="E372" s="4">
        <v>1</v>
      </c>
      <c r="F372" s="4">
        <v>0</v>
      </c>
      <c r="G372" s="4">
        <v>0</v>
      </c>
      <c r="H372" s="4">
        <v>0</v>
      </c>
      <c r="I372" s="4" t="s">
        <v>1</v>
      </c>
      <c r="K3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7.4195667599340945E-2</v>
      </c>
    </row>
    <row r="373" spans="1:11" x14ac:dyDescent="0.3">
      <c r="A373" s="4">
        <v>25</v>
      </c>
      <c r="B373" s="4">
        <v>1700000</v>
      </c>
      <c r="C373" s="4">
        <v>5</v>
      </c>
      <c r="D373" s="4">
        <v>0</v>
      </c>
      <c r="E373" s="4">
        <v>1</v>
      </c>
      <c r="F373" s="4">
        <v>0</v>
      </c>
      <c r="G373" s="4">
        <v>1</v>
      </c>
      <c r="H373" s="4">
        <v>0</v>
      </c>
      <c r="I373" s="4" t="s">
        <v>1</v>
      </c>
      <c r="K3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0.50240072227066335</v>
      </c>
    </row>
    <row r="374" spans="1:11" x14ac:dyDescent="0.3">
      <c r="A374" s="4">
        <v>31</v>
      </c>
      <c r="B374" s="4">
        <v>1300000</v>
      </c>
      <c r="C374" s="4">
        <v>4</v>
      </c>
      <c r="D374" s="4">
        <v>1</v>
      </c>
      <c r="E374" s="4">
        <v>1</v>
      </c>
      <c r="F374" s="4">
        <v>0</v>
      </c>
      <c r="G374" s="4">
        <v>0</v>
      </c>
      <c r="H374" s="4">
        <v>0</v>
      </c>
      <c r="I374" s="4" t="s">
        <v>1</v>
      </c>
      <c r="K3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0.33243765424119259</v>
      </c>
    </row>
    <row r="375" spans="1:11" x14ac:dyDescent="0.3">
      <c r="A375" s="4">
        <v>28</v>
      </c>
      <c r="B375" s="4">
        <v>700000</v>
      </c>
      <c r="C375" s="4">
        <v>6</v>
      </c>
      <c r="D375" s="4">
        <v>0</v>
      </c>
      <c r="E375" s="4">
        <v>1</v>
      </c>
      <c r="F375" s="4">
        <v>1</v>
      </c>
      <c r="G375" s="4">
        <v>0</v>
      </c>
      <c r="H375" s="4">
        <v>0</v>
      </c>
      <c r="I375" s="4" t="s">
        <v>1</v>
      </c>
      <c r="K3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0.17808556405155099</v>
      </c>
    </row>
    <row r="376" spans="1:11" x14ac:dyDescent="0.3">
      <c r="A376" s="4">
        <v>27</v>
      </c>
      <c r="B376" s="4">
        <v>900000</v>
      </c>
      <c r="C376" s="4">
        <v>6</v>
      </c>
      <c r="D376" s="4">
        <v>1</v>
      </c>
      <c r="E376" s="4">
        <v>1</v>
      </c>
      <c r="F376" s="4">
        <v>0</v>
      </c>
      <c r="G376" s="4">
        <v>1</v>
      </c>
      <c r="H376" s="4">
        <v>1</v>
      </c>
      <c r="I376" s="4" t="s">
        <v>1</v>
      </c>
      <c r="K3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0.63159490634325177</v>
      </c>
    </row>
    <row r="377" spans="1:11" x14ac:dyDescent="0.3">
      <c r="A377" s="4">
        <v>32</v>
      </c>
      <c r="B377" s="4">
        <v>350000</v>
      </c>
      <c r="C377" s="4">
        <v>4</v>
      </c>
      <c r="D377" s="4">
        <v>1</v>
      </c>
      <c r="E377" s="4">
        <v>1</v>
      </c>
      <c r="F377" s="4">
        <v>0</v>
      </c>
      <c r="G377" s="4">
        <v>0</v>
      </c>
      <c r="H377" s="4">
        <v>0</v>
      </c>
      <c r="I377" s="4" t="s">
        <v>1</v>
      </c>
      <c r="K3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5.5250229502942241E-2</v>
      </c>
    </row>
    <row r="378" spans="1:11" x14ac:dyDescent="0.3">
      <c r="A378" s="4">
        <v>35</v>
      </c>
      <c r="B378" s="4">
        <v>950000</v>
      </c>
      <c r="C378" s="4">
        <v>5</v>
      </c>
      <c r="D378" s="4">
        <v>0</v>
      </c>
      <c r="E378" s="4">
        <v>0</v>
      </c>
      <c r="F378" s="4">
        <v>1</v>
      </c>
      <c r="G378" s="4">
        <v>0</v>
      </c>
      <c r="H378" s="4">
        <v>0</v>
      </c>
      <c r="I378" s="4" t="s">
        <v>1</v>
      </c>
      <c r="K3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0.41357429702725146</v>
      </c>
    </row>
    <row r="379" spans="1:11" x14ac:dyDescent="0.3">
      <c r="A379" s="4">
        <v>31</v>
      </c>
      <c r="B379" s="4">
        <v>400000</v>
      </c>
      <c r="C379" s="4">
        <v>3</v>
      </c>
      <c r="D379" s="4">
        <v>1</v>
      </c>
      <c r="E379" s="4">
        <v>1</v>
      </c>
      <c r="F379" s="4">
        <v>0</v>
      </c>
      <c r="G379" s="4">
        <v>0</v>
      </c>
      <c r="H379" s="4">
        <v>0</v>
      </c>
      <c r="I379" s="4" t="s">
        <v>1</v>
      </c>
      <c r="K3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3.9664282879160365E-2</v>
      </c>
    </row>
    <row r="380" spans="1:11" x14ac:dyDescent="0.3">
      <c r="A380" s="4">
        <v>32</v>
      </c>
      <c r="B380" s="4">
        <v>650000</v>
      </c>
      <c r="C380" s="4">
        <v>4</v>
      </c>
      <c r="D380" s="4">
        <v>1</v>
      </c>
      <c r="E380" s="4">
        <v>1</v>
      </c>
      <c r="F380" s="4">
        <v>0</v>
      </c>
      <c r="G380" s="4">
        <v>0</v>
      </c>
      <c r="H380" s="4">
        <v>0</v>
      </c>
      <c r="I380" s="4" t="s">
        <v>1</v>
      </c>
      <c r="K3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0.14708612250358954</v>
      </c>
    </row>
    <row r="381" spans="1:11" x14ac:dyDescent="0.3">
      <c r="A381" s="4">
        <v>28</v>
      </c>
      <c r="B381" s="4">
        <v>1200000</v>
      </c>
      <c r="C381" s="4">
        <v>6</v>
      </c>
      <c r="D381" s="4">
        <v>0</v>
      </c>
      <c r="E381" s="4">
        <v>1</v>
      </c>
      <c r="F381" s="4">
        <v>0</v>
      </c>
      <c r="G381" s="4">
        <v>0</v>
      </c>
      <c r="H381" s="4">
        <v>0</v>
      </c>
      <c r="I381" s="4" t="s">
        <v>1</v>
      </c>
      <c r="K3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0.31629838304467706</v>
      </c>
    </row>
    <row r="382" spans="1:11" x14ac:dyDescent="0.3">
      <c r="A382" s="4">
        <v>29</v>
      </c>
      <c r="B382" s="4">
        <v>1200000</v>
      </c>
      <c r="C382" s="4">
        <v>5</v>
      </c>
      <c r="D382" s="4">
        <v>0</v>
      </c>
      <c r="E382" s="4">
        <v>1</v>
      </c>
      <c r="F382" s="4">
        <v>0</v>
      </c>
      <c r="G382" s="4">
        <v>0</v>
      </c>
      <c r="H382" s="4">
        <v>0</v>
      </c>
      <c r="I382" s="4" t="s">
        <v>1</v>
      </c>
      <c r="K3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0.31265892711505283</v>
      </c>
    </row>
    <row r="383" spans="1:11" x14ac:dyDescent="0.3">
      <c r="A383" s="4">
        <v>28</v>
      </c>
      <c r="B383" s="4">
        <v>300000</v>
      </c>
      <c r="C383" s="4">
        <v>7</v>
      </c>
      <c r="D383" s="4">
        <v>1</v>
      </c>
      <c r="E383" s="4">
        <v>0</v>
      </c>
      <c r="F383" s="4">
        <v>1</v>
      </c>
      <c r="G383" s="4">
        <v>0</v>
      </c>
      <c r="H383" s="4">
        <v>0</v>
      </c>
      <c r="I383" s="4" t="s">
        <v>1</v>
      </c>
      <c r="K3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0.13292424085784851</v>
      </c>
    </row>
    <row r="384" spans="1:11" x14ac:dyDescent="0.3">
      <c r="A384" s="4">
        <v>29</v>
      </c>
      <c r="B384" s="4">
        <v>1200000</v>
      </c>
      <c r="C384" s="4">
        <v>5</v>
      </c>
      <c r="D384" s="4">
        <v>0</v>
      </c>
      <c r="E384" s="4">
        <v>1</v>
      </c>
      <c r="F384" s="4">
        <v>1</v>
      </c>
      <c r="G384" s="4">
        <v>0</v>
      </c>
      <c r="H384" s="4">
        <v>0</v>
      </c>
      <c r="I384" s="4" t="s">
        <v>1</v>
      </c>
      <c r="K3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0.3275059297896723</v>
      </c>
    </row>
    <row r="385" spans="1:11" x14ac:dyDescent="0.3">
      <c r="A385" s="4">
        <v>34</v>
      </c>
      <c r="B385" s="4">
        <v>700000</v>
      </c>
      <c r="C385" s="4">
        <v>4</v>
      </c>
      <c r="D385" s="4">
        <v>0</v>
      </c>
      <c r="E385" s="4">
        <v>1</v>
      </c>
      <c r="F385" s="4">
        <v>0</v>
      </c>
      <c r="G385" s="4">
        <v>1</v>
      </c>
      <c r="H385" s="4">
        <v>0</v>
      </c>
      <c r="I385" s="4" t="s">
        <v>1</v>
      </c>
      <c r="K3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0.30165151444927735</v>
      </c>
    </row>
    <row r="386" spans="1:11" x14ac:dyDescent="0.3">
      <c r="A386" s="4">
        <v>27</v>
      </c>
      <c r="B386" s="4">
        <v>500000</v>
      </c>
      <c r="C386" s="4">
        <v>4</v>
      </c>
      <c r="D386" s="4">
        <v>1</v>
      </c>
      <c r="E386" s="4">
        <v>1</v>
      </c>
      <c r="F386" s="4">
        <v>1</v>
      </c>
      <c r="G386" s="4">
        <v>0</v>
      </c>
      <c r="H386" s="4">
        <v>0</v>
      </c>
      <c r="I386" s="4" t="s">
        <v>1</v>
      </c>
      <c r="K3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4.788399652555466E-2</v>
      </c>
    </row>
    <row r="387" spans="1:11" x14ac:dyDescent="0.3">
      <c r="A387" s="4">
        <v>28</v>
      </c>
      <c r="B387" s="4">
        <v>800000</v>
      </c>
      <c r="C387" s="4">
        <v>4</v>
      </c>
      <c r="D387" s="4">
        <v>0</v>
      </c>
      <c r="E387" s="4">
        <v>1</v>
      </c>
      <c r="F387" s="4">
        <v>1</v>
      </c>
      <c r="G387" s="4">
        <v>0</v>
      </c>
      <c r="H387" s="4">
        <v>0</v>
      </c>
      <c r="I387" s="4" t="s">
        <v>1</v>
      </c>
      <c r="K3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0.17416614366491953</v>
      </c>
    </row>
    <row r="388" spans="1:11" x14ac:dyDescent="0.3">
      <c r="A388" s="4">
        <v>33</v>
      </c>
      <c r="B388" s="4">
        <v>800000</v>
      </c>
      <c r="C388" s="4">
        <v>5</v>
      </c>
      <c r="D388" s="4">
        <v>1</v>
      </c>
      <c r="E388" s="4">
        <v>1</v>
      </c>
      <c r="F388" s="4">
        <v>1</v>
      </c>
      <c r="G388" s="4">
        <v>0</v>
      </c>
      <c r="H388" s="4">
        <v>0</v>
      </c>
      <c r="I388" s="4" t="s">
        <v>1</v>
      </c>
      <c r="K3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0.23874300046908906</v>
      </c>
    </row>
    <row r="389" spans="1:11" x14ac:dyDescent="0.3">
      <c r="A389" s="4">
        <v>27</v>
      </c>
      <c r="B389" s="4">
        <v>750000</v>
      </c>
      <c r="C389" s="4">
        <v>8</v>
      </c>
      <c r="D389" s="4">
        <v>1</v>
      </c>
      <c r="E389" s="4">
        <v>1</v>
      </c>
      <c r="F389" s="4">
        <v>0</v>
      </c>
      <c r="G389" s="4">
        <v>0</v>
      </c>
      <c r="H389" s="4">
        <v>0</v>
      </c>
      <c r="I389" s="4" t="s">
        <v>1</v>
      </c>
      <c r="K3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0.17862967412516911</v>
      </c>
    </row>
    <row r="390" spans="1:11" x14ac:dyDescent="0.3">
      <c r="A390" s="4">
        <v>31</v>
      </c>
      <c r="B390" s="4">
        <v>400000</v>
      </c>
      <c r="C390" s="4">
        <v>6</v>
      </c>
      <c r="D390" s="4">
        <v>1</v>
      </c>
      <c r="E390" s="4">
        <v>1</v>
      </c>
      <c r="F390" s="4">
        <v>0</v>
      </c>
      <c r="G390" s="4">
        <v>0</v>
      </c>
      <c r="H390" s="4">
        <v>0</v>
      </c>
      <c r="I390" s="4" t="s">
        <v>1</v>
      </c>
      <c r="K3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9.1461359959431235E-2</v>
      </c>
    </row>
    <row r="391" spans="1:11" x14ac:dyDescent="0.3">
      <c r="A391" s="4">
        <v>28</v>
      </c>
      <c r="B391" s="4">
        <v>500000</v>
      </c>
      <c r="C391" s="4">
        <v>7</v>
      </c>
      <c r="D391" s="4">
        <v>0</v>
      </c>
      <c r="E391" s="4">
        <v>1</v>
      </c>
      <c r="F391" s="4">
        <v>0</v>
      </c>
      <c r="G391" s="4">
        <v>0</v>
      </c>
      <c r="H391" s="4">
        <v>0</v>
      </c>
      <c r="I391" s="4" t="s">
        <v>1</v>
      </c>
      <c r="K3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0.11928032506992366</v>
      </c>
    </row>
    <row r="392" spans="1:11" x14ac:dyDescent="0.3">
      <c r="A392" s="4">
        <v>34</v>
      </c>
      <c r="B392" s="4">
        <v>1500000</v>
      </c>
      <c r="C392" s="4">
        <v>5</v>
      </c>
      <c r="D392" s="4">
        <v>0</v>
      </c>
      <c r="E392" s="4">
        <v>1</v>
      </c>
      <c r="F392" s="4">
        <v>1</v>
      </c>
      <c r="G392" s="4">
        <v>1</v>
      </c>
      <c r="H392" s="4">
        <v>1</v>
      </c>
      <c r="I392" s="4" t="s">
        <v>1</v>
      </c>
      <c r="K3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0.92905167538058975</v>
      </c>
    </row>
    <row r="393" spans="1:11" x14ac:dyDescent="0.3">
      <c r="A393" s="4">
        <v>32</v>
      </c>
      <c r="B393" s="4">
        <v>650000</v>
      </c>
      <c r="C393" s="4">
        <v>5</v>
      </c>
      <c r="D393" s="4">
        <v>1</v>
      </c>
      <c r="E393" s="4">
        <v>1</v>
      </c>
      <c r="F393" s="4">
        <v>0</v>
      </c>
      <c r="G393" s="4">
        <v>1</v>
      </c>
      <c r="H393" s="4">
        <v>0</v>
      </c>
      <c r="I393" s="4" t="s">
        <v>1</v>
      </c>
      <c r="K3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0.25553873407340943</v>
      </c>
    </row>
    <row r="394" spans="1:11" x14ac:dyDescent="0.3">
      <c r="A394" s="4">
        <v>31</v>
      </c>
      <c r="B394" s="4">
        <v>1350000</v>
      </c>
      <c r="C394" s="4">
        <v>4</v>
      </c>
      <c r="D394" s="4">
        <v>0</v>
      </c>
      <c r="E394" s="4">
        <v>1</v>
      </c>
      <c r="F394" s="4">
        <v>0</v>
      </c>
      <c r="G394" s="4">
        <v>0</v>
      </c>
      <c r="H394" s="4">
        <v>1</v>
      </c>
      <c r="I394" s="4" t="s">
        <v>1</v>
      </c>
      <c r="K3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0.71895540534442837</v>
      </c>
    </row>
    <row r="395" spans="1:11" x14ac:dyDescent="0.3">
      <c r="A395" s="4">
        <v>27</v>
      </c>
      <c r="B395" s="4">
        <v>1050000</v>
      </c>
      <c r="C395" s="4">
        <v>4</v>
      </c>
      <c r="D395" s="4">
        <v>1</v>
      </c>
      <c r="E395" s="4">
        <v>1</v>
      </c>
      <c r="F395" s="4">
        <v>0</v>
      </c>
      <c r="G395" s="4">
        <v>0</v>
      </c>
      <c r="H395" s="4">
        <v>0</v>
      </c>
      <c r="I395" s="4" t="s">
        <v>1</v>
      </c>
      <c r="K3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0.20140279768545527</v>
      </c>
    </row>
    <row r="396" spans="1:11" x14ac:dyDescent="0.3">
      <c r="A396" s="4">
        <v>31</v>
      </c>
      <c r="B396" s="4">
        <v>300000</v>
      </c>
      <c r="C396" s="4">
        <v>3</v>
      </c>
      <c r="D396" s="4">
        <v>1</v>
      </c>
      <c r="E396" s="4">
        <v>0</v>
      </c>
      <c r="F396" s="4">
        <v>0</v>
      </c>
      <c r="G396" s="4">
        <v>0</v>
      </c>
      <c r="H396" s="4">
        <v>0</v>
      </c>
      <c r="I396" s="4" t="s">
        <v>1</v>
      </c>
      <c r="K3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8.9893178034266275E-2</v>
      </c>
    </row>
    <row r="397" spans="1:11" x14ac:dyDescent="0.3">
      <c r="A397" s="4">
        <v>34</v>
      </c>
      <c r="B397" s="4">
        <v>1000000</v>
      </c>
      <c r="C397" s="4">
        <v>3</v>
      </c>
      <c r="D397" s="4">
        <v>0</v>
      </c>
      <c r="E397" s="4">
        <v>1</v>
      </c>
      <c r="F397" s="4">
        <v>0</v>
      </c>
      <c r="G397" s="4">
        <v>0</v>
      </c>
      <c r="H397" s="4">
        <v>0</v>
      </c>
      <c r="I397" s="4" t="s">
        <v>1</v>
      </c>
      <c r="K3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0.28503479588010472</v>
      </c>
    </row>
    <row r="398" spans="1:11" x14ac:dyDescent="0.3">
      <c r="A398" s="4">
        <v>28</v>
      </c>
      <c r="B398" s="4">
        <v>700000</v>
      </c>
      <c r="C398" s="4">
        <v>7</v>
      </c>
      <c r="D398" s="4">
        <v>0</v>
      </c>
      <c r="E398" s="4">
        <v>1</v>
      </c>
      <c r="F398" s="4">
        <v>0</v>
      </c>
      <c r="G398" s="4">
        <v>0</v>
      </c>
      <c r="H398" s="4">
        <v>0</v>
      </c>
      <c r="I398" s="4" t="s">
        <v>1</v>
      </c>
      <c r="K3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0.18050425373702184</v>
      </c>
    </row>
    <row r="399" spans="1:11" x14ac:dyDescent="0.3">
      <c r="A399" s="4">
        <v>26</v>
      </c>
      <c r="B399" s="4">
        <v>1450000</v>
      </c>
      <c r="C399" s="4">
        <v>5</v>
      </c>
      <c r="D399" s="4">
        <v>1</v>
      </c>
      <c r="E399" s="4">
        <v>1</v>
      </c>
      <c r="F399" s="4">
        <v>0</v>
      </c>
      <c r="G399" s="4">
        <v>1</v>
      </c>
      <c r="H399" s="4">
        <v>1</v>
      </c>
      <c r="I399" s="4" t="s">
        <v>1</v>
      </c>
      <c r="K3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0.76906878138721535</v>
      </c>
    </row>
    <row r="400" spans="1:11" x14ac:dyDescent="0.3">
      <c r="A400" s="4">
        <v>29</v>
      </c>
      <c r="B400" s="4">
        <v>1200000</v>
      </c>
      <c r="C400" s="4">
        <v>8</v>
      </c>
      <c r="D400" s="4">
        <v>0</v>
      </c>
      <c r="E400" s="4">
        <v>1</v>
      </c>
      <c r="F400" s="4">
        <v>1</v>
      </c>
      <c r="G400" s="4">
        <v>0</v>
      </c>
      <c r="H400" s="4">
        <v>0</v>
      </c>
      <c r="I400" s="4" t="s">
        <v>1</v>
      </c>
      <c r="K4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0.37930300686994323</v>
      </c>
    </row>
    <row r="401" spans="1:11" x14ac:dyDescent="0.3">
      <c r="A401" s="4">
        <v>25</v>
      </c>
      <c r="B401" s="4">
        <v>1150000</v>
      </c>
      <c r="C401" s="4">
        <v>8</v>
      </c>
      <c r="D401" s="4">
        <v>0</v>
      </c>
      <c r="E401" s="4">
        <v>0</v>
      </c>
      <c r="F401" s="4">
        <v>0</v>
      </c>
      <c r="G401" s="4">
        <v>0</v>
      </c>
      <c r="H401" s="4">
        <v>0</v>
      </c>
      <c r="I401" s="4" t="s">
        <v>1</v>
      </c>
      <c r="K4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0.37548593579533973</v>
      </c>
    </row>
    <row r="402" spans="1:11" x14ac:dyDescent="0.3">
      <c r="A402" s="4">
        <v>29</v>
      </c>
      <c r="B402" s="4">
        <v>1050000</v>
      </c>
      <c r="C402" s="4">
        <v>4</v>
      </c>
      <c r="D402" s="4">
        <v>0</v>
      </c>
      <c r="E402" s="4">
        <v>1</v>
      </c>
      <c r="F402" s="4">
        <v>0</v>
      </c>
      <c r="G402" s="4">
        <v>0</v>
      </c>
      <c r="H402" s="4">
        <v>0</v>
      </c>
      <c r="I402" s="4" t="s">
        <v>1</v>
      </c>
      <c r="K4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0.24947528825463894</v>
      </c>
    </row>
    <row r="403" spans="1:11" x14ac:dyDescent="0.3">
      <c r="A403" s="4">
        <v>28</v>
      </c>
      <c r="B403" s="4">
        <v>1250000</v>
      </c>
      <c r="C403" s="4">
        <v>7</v>
      </c>
      <c r="D403" s="4">
        <v>0</v>
      </c>
      <c r="E403" s="4">
        <v>1</v>
      </c>
      <c r="F403" s="4">
        <v>0</v>
      </c>
      <c r="G403" s="4">
        <v>0</v>
      </c>
      <c r="H403" s="4">
        <v>0</v>
      </c>
      <c r="I403" s="4" t="s">
        <v>1</v>
      </c>
      <c r="K4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0.34887005757154194</v>
      </c>
    </row>
    <row r="404" spans="1:11" x14ac:dyDescent="0.3">
      <c r="A404" s="4">
        <v>28</v>
      </c>
      <c r="B404" s="4">
        <v>300000</v>
      </c>
      <c r="C404" s="4">
        <v>3</v>
      </c>
      <c r="D404" s="4">
        <v>1</v>
      </c>
      <c r="E404" s="4">
        <v>1</v>
      </c>
      <c r="F404" s="4">
        <v>0</v>
      </c>
      <c r="G404" s="4">
        <v>0</v>
      </c>
      <c r="H404" s="4">
        <v>0</v>
      </c>
      <c r="I404" s="4" t="s">
        <v>1</v>
      </c>
      <c r="K4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-3.1826390745787178E-2</v>
      </c>
    </row>
    <row r="405" spans="1:11" x14ac:dyDescent="0.3">
      <c r="A405" s="4">
        <v>31</v>
      </c>
      <c r="B405" s="4">
        <v>1200000</v>
      </c>
      <c r="C405" s="4">
        <v>7</v>
      </c>
      <c r="D405" s="4">
        <v>1</v>
      </c>
      <c r="E405" s="4">
        <v>1</v>
      </c>
      <c r="F405" s="4">
        <v>1</v>
      </c>
      <c r="G405" s="4">
        <v>0</v>
      </c>
      <c r="H405" s="4">
        <v>0</v>
      </c>
      <c r="I405" s="4" t="s">
        <v>1</v>
      </c>
      <c r="K4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0.36846976966253381</v>
      </c>
    </row>
    <row r="406" spans="1:11" x14ac:dyDescent="0.3">
      <c r="A406" s="4">
        <v>28</v>
      </c>
      <c r="B406" s="4">
        <v>1250000</v>
      </c>
      <c r="C406" s="4">
        <v>9</v>
      </c>
      <c r="D406" s="4">
        <v>0</v>
      </c>
      <c r="E406" s="4">
        <v>1</v>
      </c>
      <c r="F406" s="4">
        <v>1</v>
      </c>
      <c r="G406" s="4">
        <v>0</v>
      </c>
      <c r="H406" s="4">
        <v>0</v>
      </c>
      <c r="I406" s="4" t="s">
        <v>1</v>
      </c>
      <c r="K4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0.39824844496634199</v>
      </c>
    </row>
    <row r="407" spans="1:11" x14ac:dyDescent="0.3">
      <c r="A407" s="4">
        <v>26</v>
      </c>
      <c r="B407" s="4">
        <v>500000</v>
      </c>
      <c r="C407" s="4">
        <v>3</v>
      </c>
      <c r="D407" s="4">
        <v>0</v>
      </c>
      <c r="E407" s="4">
        <v>1</v>
      </c>
      <c r="F407" s="4">
        <v>0</v>
      </c>
      <c r="G407" s="4">
        <v>0</v>
      </c>
      <c r="H407" s="4">
        <v>0</v>
      </c>
      <c r="I407" s="4" t="s">
        <v>1</v>
      </c>
      <c r="K4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2.2965082768630227E-2</v>
      </c>
    </row>
    <row r="408" spans="1:11" x14ac:dyDescent="0.3">
      <c r="A408" s="4">
        <v>29</v>
      </c>
      <c r="B408" s="4">
        <v>1100000</v>
      </c>
      <c r="C408" s="4">
        <v>5</v>
      </c>
      <c r="D408" s="4">
        <v>0</v>
      </c>
      <c r="E408" s="4">
        <v>1</v>
      </c>
      <c r="F408" s="4">
        <v>1</v>
      </c>
      <c r="G408" s="4">
        <v>0</v>
      </c>
      <c r="H408" s="4">
        <v>0</v>
      </c>
      <c r="I408" s="4" t="s">
        <v>1</v>
      </c>
      <c r="K4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0.29689396545612323</v>
      </c>
    </row>
    <row r="409" spans="1:11" x14ac:dyDescent="0.3">
      <c r="A409" s="4">
        <v>34</v>
      </c>
      <c r="B409" s="4">
        <v>1500000</v>
      </c>
      <c r="C409" s="4">
        <v>9</v>
      </c>
      <c r="D409" s="4">
        <v>0</v>
      </c>
      <c r="E409" s="4">
        <v>1</v>
      </c>
      <c r="F409" s="4">
        <v>0</v>
      </c>
      <c r="G409" s="4">
        <v>1</v>
      </c>
      <c r="H409" s="4">
        <v>1</v>
      </c>
      <c r="I409" s="4" t="s">
        <v>1</v>
      </c>
      <c r="K4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0.98326744214633144</v>
      </c>
    </row>
    <row r="410" spans="1:11" x14ac:dyDescent="0.3">
      <c r="A410" s="4">
        <v>31</v>
      </c>
      <c r="B410" s="4">
        <v>1500000</v>
      </c>
      <c r="C410" s="4">
        <v>7</v>
      </c>
      <c r="D410" s="4">
        <v>1</v>
      </c>
      <c r="E410" s="4">
        <v>1</v>
      </c>
      <c r="F410" s="4">
        <v>0</v>
      </c>
      <c r="G410" s="4">
        <v>1</v>
      </c>
      <c r="H410" s="4">
        <v>1</v>
      </c>
      <c r="I410" s="4" t="s">
        <v>1</v>
      </c>
      <c r="K4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0.88703733042650112</v>
      </c>
    </row>
    <row r="411" spans="1:11" x14ac:dyDescent="0.3">
      <c r="A411" s="4">
        <v>26</v>
      </c>
      <c r="B411" s="4">
        <v>1500000</v>
      </c>
      <c r="C411" s="4">
        <v>5</v>
      </c>
      <c r="D411" s="4">
        <v>0</v>
      </c>
      <c r="E411" s="4">
        <v>1</v>
      </c>
      <c r="F411" s="4">
        <v>0</v>
      </c>
      <c r="G411" s="4">
        <v>1</v>
      </c>
      <c r="H411" s="4">
        <v>1</v>
      </c>
      <c r="I411" s="4" t="s">
        <v>1</v>
      </c>
      <c r="K4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0.80519478126224131</v>
      </c>
    </row>
    <row r="412" spans="1:11" x14ac:dyDescent="0.3">
      <c r="A412" s="4">
        <v>34</v>
      </c>
      <c r="B412" s="4">
        <v>700000</v>
      </c>
      <c r="C412" s="4">
        <v>5</v>
      </c>
      <c r="D412" s="4">
        <v>0</v>
      </c>
      <c r="E412" s="4">
        <v>1</v>
      </c>
      <c r="F412" s="4">
        <v>1</v>
      </c>
      <c r="G412" s="4">
        <v>0</v>
      </c>
      <c r="H412" s="4">
        <v>0</v>
      </c>
      <c r="I412" s="4" t="s">
        <v>1</v>
      </c>
      <c r="K4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0.24257729027425748</v>
      </c>
    </row>
    <row r="413" spans="1:11" x14ac:dyDescent="0.3">
      <c r="A413" s="4">
        <v>34</v>
      </c>
      <c r="B413" s="4">
        <v>1100000</v>
      </c>
      <c r="C413" s="4">
        <v>9</v>
      </c>
      <c r="D413" s="4">
        <v>1</v>
      </c>
      <c r="E413" s="4">
        <v>1</v>
      </c>
      <c r="F413" s="4">
        <v>0</v>
      </c>
      <c r="G413" s="4">
        <v>0</v>
      </c>
      <c r="H413" s="4">
        <v>0</v>
      </c>
      <c r="I413" s="4" t="s">
        <v>1</v>
      </c>
      <c r="K4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0.39842089666594421</v>
      </c>
    </row>
    <row r="414" spans="1:11" x14ac:dyDescent="0.3">
      <c r="A414" s="4">
        <v>30</v>
      </c>
      <c r="B414" s="4">
        <v>1450000</v>
      </c>
      <c r="C414" s="4">
        <v>7</v>
      </c>
      <c r="D414" s="4">
        <v>0</v>
      </c>
      <c r="E414" s="4">
        <v>0</v>
      </c>
      <c r="F414" s="4">
        <v>1</v>
      </c>
      <c r="G414" s="4">
        <v>1</v>
      </c>
      <c r="H414" s="4">
        <v>1</v>
      </c>
      <c r="I414" s="4" t="s">
        <v>1</v>
      </c>
      <c r="K4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0.97461299170078641</v>
      </c>
    </row>
    <row r="415" spans="1:11" x14ac:dyDescent="0.3">
      <c r="A415" s="4">
        <v>28</v>
      </c>
      <c r="B415" s="4">
        <v>600000</v>
      </c>
      <c r="C415" s="4">
        <v>8</v>
      </c>
      <c r="D415" s="4">
        <v>1</v>
      </c>
      <c r="E415" s="4">
        <v>1</v>
      </c>
      <c r="F415" s="4">
        <v>0</v>
      </c>
      <c r="G415" s="4">
        <v>1</v>
      </c>
      <c r="H415" s="4">
        <v>0</v>
      </c>
      <c r="I415" s="4" t="s">
        <v>1</v>
      </c>
      <c r="K4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0.23752488326504123</v>
      </c>
    </row>
    <row r="416" spans="1:11" x14ac:dyDescent="0.3">
      <c r="A416" s="4">
        <v>28</v>
      </c>
      <c r="B416" s="4">
        <v>1150000</v>
      </c>
      <c r="C416" s="4">
        <v>6</v>
      </c>
      <c r="D416" s="4">
        <v>0</v>
      </c>
      <c r="E416" s="4">
        <v>1</v>
      </c>
      <c r="F416" s="4">
        <v>1</v>
      </c>
      <c r="G416" s="4">
        <v>0</v>
      </c>
      <c r="H416" s="4">
        <v>0</v>
      </c>
      <c r="I416" s="4" t="s">
        <v>1</v>
      </c>
      <c r="K4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0.31583940355252199</v>
      </c>
    </row>
    <row r="417" spans="1:11" x14ac:dyDescent="0.3">
      <c r="A417" s="4">
        <v>35</v>
      </c>
      <c r="B417" s="4">
        <v>800000</v>
      </c>
      <c r="C417" s="4">
        <v>6</v>
      </c>
      <c r="D417" s="4">
        <v>0</v>
      </c>
      <c r="E417" s="4">
        <v>0</v>
      </c>
      <c r="F417" s="4">
        <v>0</v>
      </c>
      <c r="G417" s="4">
        <v>0</v>
      </c>
      <c r="H417" s="4">
        <v>0</v>
      </c>
      <c r="I417" s="4" t="s">
        <v>1</v>
      </c>
      <c r="K4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0.37007504021239868</v>
      </c>
    </row>
    <row r="418" spans="1:11" x14ac:dyDescent="0.3">
      <c r="A418" s="4">
        <v>27</v>
      </c>
      <c r="B418" s="4">
        <v>450000</v>
      </c>
      <c r="C418" s="4">
        <v>3</v>
      </c>
      <c r="D418" s="4">
        <v>0</v>
      </c>
      <c r="E418" s="4">
        <v>0</v>
      </c>
      <c r="F418" s="4">
        <v>0</v>
      </c>
      <c r="G418" s="4">
        <v>0</v>
      </c>
      <c r="H418" s="4">
        <v>0</v>
      </c>
      <c r="I418" s="4" t="s">
        <v>1</v>
      </c>
      <c r="K4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0.10212619652097685</v>
      </c>
    </row>
    <row r="419" spans="1:11" x14ac:dyDescent="0.3">
      <c r="A419" s="4">
        <v>34</v>
      </c>
      <c r="B419" s="4">
        <v>500000</v>
      </c>
      <c r="C419" s="4">
        <v>4</v>
      </c>
      <c r="D419" s="4">
        <v>0</v>
      </c>
      <c r="E419" s="4">
        <v>1</v>
      </c>
      <c r="F419" s="4">
        <v>0</v>
      </c>
      <c r="G419" s="4">
        <v>0</v>
      </c>
      <c r="H419" s="4">
        <v>0</v>
      </c>
      <c r="I419" s="4" t="s">
        <v>1</v>
      </c>
      <c r="K4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0.14924066657244955</v>
      </c>
    </row>
    <row r="420" spans="1:11" x14ac:dyDescent="0.3">
      <c r="A420" s="4">
        <v>29</v>
      </c>
      <c r="B420" s="4">
        <v>1200000</v>
      </c>
      <c r="C420" s="4">
        <v>5</v>
      </c>
      <c r="D420" s="4">
        <v>0</v>
      </c>
      <c r="E420" s="4">
        <v>1</v>
      </c>
      <c r="F420" s="4">
        <v>1</v>
      </c>
      <c r="G420" s="4">
        <v>0</v>
      </c>
      <c r="H420" s="4">
        <v>0</v>
      </c>
      <c r="I420" s="4" t="s">
        <v>1</v>
      </c>
      <c r="K4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0.3275059297896723</v>
      </c>
    </row>
    <row r="421" spans="1:11" x14ac:dyDescent="0.3">
      <c r="A421" s="4">
        <v>34</v>
      </c>
      <c r="B421" s="4">
        <v>1050000</v>
      </c>
      <c r="C421" s="4">
        <v>5</v>
      </c>
      <c r="D421" s="4">
        <v>0</v>
      </c>
      <c r="E421" s="4">
        <v>1</v>
      </c>
      <c r="F421" s="4">
        <v>1</v>
      </c>
      <c r="G421" s="4">
        <v>0</v>
      </c>
      <c r="H421" s="4">
        <v>0</v>
      </c>
      <c r="I421" s="4" t="s">
        <v>1</v>
      </c>
      <c r="K4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0.34971916544167936</v>
      </c>
    </row>
    <row r="422" spans="1:11" x14ac:dyDescent="0.3">
      <c r="A422" s="4">
        <v>34</v>
      </c>
      <c r="B422" s="4">
        <v>1000000</v>
      </c>
      <c r="C422" s="4">
        <v>5</v>
      </c>
      <c r="D422" s="4">
        <v>0</v>
      </c>
      <c r="E422" s="4">
        <v>1</v>
      </c>
      <c r="F422" s="4">
        <v>0</v>
      </c>
      <c r="G422" s="4">
        <v>0</v>
      </c>
      <c r="H422" s="4">
        <v>0</v>
      </c>
      <c r="I422" s="4" t="s">
        <v>1</v>
      </c>
      <c r="K4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0.3195661806002853</v>
      </c>
    </row>
    <row r="423" spans="1:11" x14ac:dyDescent="0.3">
      <c r="A423" s="4">
        <v>26</v>
      </c>
      <c r="B423" s="4">
        <v>1450000</v>
      </c>
      <c r="C423" s="4">
        <v>7</v>
      </c>
      <c r="D423" s="4">
        <v>1</v>
      </c>
      <c r="E423" s="4">
        <v>1</v>
      </c>
      <c r="F423" s="4">
        <v>0</v>
      </c>
      <c r="G423" s="4">
        <v>1</v>
      </c>
      <c r="H423" s="4">
        <v>1</v>
      </c>
      <c r="I423" s="4" t="s">
        <v>1</v>
      </c>
      <c r="K4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0.80360016610739593</v>
      </c>
    </row>
    <row r="424" spans="1:11" x14ac:dyDescent="0.3">
      <c r="A424" s="4">
        <v>34</v>
      </c>
      <c r="B424" s="4">
        <v>1300000</v>
      </c>
      <c r="C424" s="4">
        <v>4</v>
      </c>
      <c r="D424" s="4">
        <v>0</v>
      </c>
      <c r="E424" s="4">
        <v>1</v>
      </c>
      <c r="F424" s="4">
        <v>0</v>
      </c>
      <c r="G424" s="4">
        <v>0</v>
      </c>
      <c r="H424" s="4">
        <v>0</v>
      </c>
      <c r="I424" s="4" t="s">
        <v>1</v>
      </c>
      <c r="K4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0.39413638124084238</v>
      </c>
    </row>
    <row r="425" spans="1:11" x14ac:dyDescent="0.3">
      <c r="A425" s="4">
        <v>26</v>
      </c>
      <c r="B425" s="4">
        <v>1400000</v>
      </c>
      <c r="C425" s="4">
        <v>5</v>
      </c>
      <c r="D425" s="4">
        <v>0</v>
      </c>
      <c r="E425" s="4">
        <v>1</v>
      </c>
      <c r="F425" s="4">
        <v>0</v>
      </c>
      <c r="G425" s="4">
        <v>0</v>
      </c>
      <c r="H425" s="4">
        <v>1</v>
      </c>
      <c r="I425" s="4" t="s">
        <v>1</v>
      </c>
      <c r="K4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0.68339589771896259</v>
      </c>
    </row>
    <row r="426" spans="1:11" x14ac:dyDescent="0.3">
      <c r="A426" s="4">
        <v>35</v>
      </c>
      <c r="B426" s="4">
        <v>950000</v>
      </c>
      <c r="C426" s="4">
        <v>3</v>
      </c>
      <c r="D426" s="4">
        <v>0</v>
      </c>
      <c r="E426" s="4">
        <v>0</v>
      </c>
      <c r="F426" s="4">
        <v>0</v>
      </c>
      <c r="G426" s="4">
        <v>1</v>
      </c>
      <c r="H426" s="4">
        <v>0</v>
      </c>
      <c r="I426" s="4" t="s">
        <v>1</v>
      </c>
      <c r="K4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0.45538282884218101</v>
      </c>
    </row>
    <row r="427" spans="1:11" x14ac:dyDescent="0.3">
      <c r="A427" s="4">
        <v>25</v>
      </c>
      <c r="B427" s="4">
        <v>1400000</v>
      </c>
      <c r="C427" s="4">
        <v>4</v>
      </c>
      <c r="D427" s="4">
        <v>0</v>
      </c>
      <c r="E427" s="4">
        <v>1</v>
      </c>
      <c r="F427" s="4">
        <v>1</v>
      </c>
      <c r="G427" s="4">
        <v>1</v>
      </c>
      <c r="H427" s="4">
        <v>1</v>
      </c>
      <c r="I427" s="4" t="s">
        <v>1</v>
      </c>
      <c r="K4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0.75853789081275513</v>
      </c>
    </row>
    <row r="428" spans="1:11" x14ac:dyDescent="0.3">
      <c r="A428" s="4">
        <v>29</v>
      </c>
      <c r="B428" s="4">
        <v>1100000</v>
      </c>
      <c r="C428" s="4">
        <v>4</v>
      </c>
      <c r="D428" s="4">
        <v>0</v>
      </c>
      <c r="E428" s="4">
        <v>1</v>
      </c>
      <c r="F428" s="4">
        <v>0</v>
      </c>
      <c r="G428" s="4">
        <v>0</v>
      </c>
      <c r="H428" s="4">
        <v>1</v>
      </c>
      <c r="I428" s="4" t="s">
        <v>1</v>
      </c>
      <c r="K4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0.6151730216496234</v>
      </c>
    </row>
    <row r="429" spans="1:11" x14ac:dyDescent="0.3">
      <c r="A429" s="4">
        <v>34</v>
      </c>
      <c r="B429" s="4">
        <v>500000</v>
      </c>
      <c r="C429" s="4">
        <v>3</v>
      </c>
      <c r="D429" s="4">
        <v>0</v>
      </c>
      <c r="E429" s="4">
        <v>1</v>
      </c>
      <c r="F429" s="4">
        <v>0</v>
      </c>
      <c r="G429" s="4">
        <v>0</v>
      </c>
      <c r="H429" s="4">
        <v>0</v>
      </c>
      <c r="I429" s="4" t="s">
        <v>1</v>
      </c>
      <c r="K4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0.13197497421235926</v>
      </c>
    </row>
    <row r="430" spans="1:11" x14ac:dyDescent="0.3">
      <c r="A430" s="4">
        <v>35</v>
      </c>
      <c r="B430" s="4">
        <v>800000</v>
      </c>
      <c r="C430" s="4">
        <v>4</v>
      </c>
      <c r="D430" s="4">
        <v>0</v>
      </c>
      <c r="E430" s="4">
        <v>0</v>
      </c>
      <c r="F430" s="4">
        <v>0</v>
      </c>
      <c r="G430" s="4">
        <v>0</v>
      </c>
      <c r="H430" s="4">
        <v>0</v>
      </c>
      <c r="I430" s="4" t="s">
        <v>1</v>
      </c>
      <c r="K4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0.3355436554922181</v>
      </c>
    </row>
    <row r="431" spans="1:11" x14ac:dyDescent="0.3">
      <c r="A431" s="4">
        <v>33</v>
      </c>
      <c r="B431" s="4">
        <v>400000</v>
      </c>
      <c r="C431" s="4">
        <v>5</v>
      </c>
      <c r="D431" s="4">
        <v>1</v>
      </c>
      <c r="E431" s="4">
        <v>1</v>
      </c>
      <c r="F431" s="4">
        <v>0</v>
      </c>
      <c r="G431" s="4">
        <v>0</v>
      </c>
      <c r="H431" s="4">
        <v>0</v>
      </c>
      <c r="I431" s="4" t="s">
        <v>1</v>
      </c>
      <c r="K4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0.10144814046027319</v>
      </c>
    </row>
    <row r="432" spans="1:11" x14ac:dyDescent="0.3">
      <c r="A432" s="4">
        <v>33</v>
      </c>
      <c r="B432" s="4">
        <v>1000000</v>
      </c>
      <c r="C432" s="4">
        <v>3</v>
      </c>
      <c r="D432" s="4">
        <v>1</v>
      </c>
      <c r="E432" s="4">
        <v>1</v>
      </c>
      <c r="F432" s="4">
        <v>0</v>
      </c>
      <c r="G432" s="4">
        <v>0</v>
      </c>
      <c r="H432" s="4">
        <v>1</v>
      </c>
      <c r="I432" s="4" t="s">
        <v>1</v>
      </c>
      <c r="K4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0.6009802929695971</v>
      </c>
    </row>
    <row r="433" spans="1:11" x14ac:dyDescent="0.3">
      <c r="A433" s="4">
        <v>34</v>
      </c>
      <c r="B433" s="4">
        <v>700000</v>
      </c>
      <c r="C433" s="4">
        <v>2</v>
      </c>
      <c r="D433" s="4">
        <v>0</v>
      </c>
      <c r="E433" s="4">
        <v>1</v>
      </c>
      <c r="F433" s="4">
        <v>0</v>
      </c>
      <c r="G433" s="4">
        <v>0</v>
      </c>
      <c r="H433" s="4">
        <v>0</v>
      </c>
      <c r="I433" s="4" t="s">
        <v>1</v>
      </c>
      <c r="K4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0.17593321051936717</v>
      </c>
    </row>
    <row r="434" spans="1:11" x14ac:dyDescent="0.3">
      <c r="A434" s="4">
        <v>28</v>
      </c>
      <c r="B434" s="4">
        <v>600000</v>
      </c>
      <c r="C434" s="4">
        <v>9</v>
      </c>
      <c r="D434" s="4">
        <v>1</v>
      </c>
      <c r="E434" s="4">
        <v>1</v>
      </c>
      <c r="F434" s="4">
        <v>0</v>
      </c>
      <c r="G434" s="4">
        <v>1</v>
      </c>
      <c r="H434" s="4">
        <v>0</v>
      </c>
      <c r="I434" s="4" t="s">
        <v>1</v>
      </c>
      <c r="K4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0.25479057562513152</v>
      </c>
    </row>
    <row r="435" spans="1:11" x14ac:dyDescent="0.3">
      <c r="A435" s="4">
        <v>28</v>
      </c>
      <c r="B435" s="4">
        <v>800000</v>
      </c>
      <c r="C435" s="4">
        <v>5</v>
      </c>
      <c r="D435" s="4">
        <v>0</v>
      </c>
      <c r="E435" s="4">
        <v>1</v>
      </c>
      <c r="F435" s="4">
        <v>1</v>
      </c>
      <c r="G435" s="4">
        <v>0</v>
      </c>
      <c r="H435" s="4">
        <v>0</v>
      </c>
      <c r="I435" s="4" t="s">
        <v>1</v>
      </c>
      <c r="K4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0.19143183602500977</v>
      </c>
    </row>
    <row r="436" spans="1:11" x14ac:dyDescent="0.3">
      <c r="A436" s="4">
        <v>33</v>
      </c>
      <c r="B436" s="4">
        <v>1100000</v>
      </c>
      <c r="C436" s="4">
        <v>2</v>
      </c>
      <c r="D436" s="4">
        <v>1</v>
      </c>
      <c r="E436" s="4">
        <v>1</v>
      </c>
      <c r="F436" s="4">
        <v>0</v>
      </c>
      <c r="G436" s="4">
        <v>1</v>
      </c>
      <c r="H436" s="4">
        <v>0</v>
      </c>
      <c r="I436" s="4" t="s">
        <v>1</v>
      </c>
      <c r="K4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0.35512173292457561</v>
      </c>
    </row>
    <row r="437" spans="1:11" x14ac:dyDescent="0.3">
      <c r="A437" s="4">
        <v>28</v>
      </c>
      <c r="B437" s="4">
        <v>300000</v>
      </c>
      <c r="C437" s="4">
        <v>6</v>
      </c>
      <c r="D437" s="4">
        <v>1</v>
      </c>
      <c r="E437" s="4">
        <v>1</v>
      </c>
      <c r="F437" s="4">
        <v>1</v>
      </c>
      <c r="G437" s="4">
        <v>0</v>
      </c>
      <c r="H437" s="4">
        <v>0</v>
      </c>
      <c r="I437" s="4" t="s">
        <v>1</v>
      </c>
      <c r="K4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3.4817689009103168E-2</v>
      </c>
    </row>
    <row r="438" spans="1:11" x14ac:dyDescent="0.3">
      <c r="A438" s="4">
        <v>31</v>
      </c>
      <c r="B438" s="4">
        <v>300000</v>
      </c>
      <c r="C438" s="4">
        <v>4</v>
      </c>
      <c r="D438" s="4">
        <v>1</v>
      </c>
      <c r="E438" s="4">
        <v>0</v>
      </c>
      <c r="F438" s="4">
        <v>0</v>
      </c>
      <c r="G438" s="4">
        <v>0</v>
      </c>
      <c r="H438" s="4">
        <v>0</v>
      </c>
      <c r="I438" s="4" t="s">
        <v>1</v>
      </c>
      <c r="K4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0.10715887039435656</v>
      </c>
    </row>
    <row r="439" spans="1:11" x14ac:dyDescent="0.3">
      <c r="A439" s="4">
        <v>34</v>
      </c>
      <c r="B439" s="4">
        <v>1000000</v>
      </c>
      <c r="C439" s="4">
        <v>6</v>
      </c>
      <c r="D439" s="4">
        <v>0</v>
      </c>
      <c r="E439" s="4">
        <v>1</v>
      </c>
      <c r="F439" s="4">
        <v>1</v>
      </c>
      <c r="G439" s="4">
        <v>0</v>
      </c>
      <c r="H439" s="4">
        <v>0</v>
      </c>
      <c r="I439" s="4" t="s">
        <v>1</v>
      </c>
      <c r="K4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0.35167887563499511</v>
      </c>
    </row>
    <row r="440" spans="1:11" x14ac:dyDescent="0.3">
      <c r="A440" s="4">
        <v>34</v>
      </c>
      <c r="B440" s="4">
        <v>700000</v>
      </c>
      <c r="C440" s="4">
        <v>5</v>
      </c>
      <c r="D440" s="4">
        <v>0</v>
      </c>
      <c r="E440" s="4">
        <v>1</v>
      </c>
      <c r="F440" s="4">
        <v>0</v>
      </c>
      <c r="G440" s="4">
        <v>1</v>
      </c>
      <c r="H440" s="4">
        <v>0</v>
      </c>
      <c r="I440" s="4" t="s">
        <v>1</v>
      </c>
      <c r="K4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0.31891720680936764</v>
      </c>
    </row>
    <row r="441" spans="1:11" x14ac:dyDescent="0.3">
      <c r="A441" s="4">
        <v>25</v>
      </c>
      <c r="B441" s="4">
        <v>1800000</v>
      </c>
      <c r="C441" s="4">
        <v>6</v>
      </c>
      <c r="D441" s="4">
        <v>0</v>
      </c>
      <c r="E441" s="4">
        <v>1</v>
      </c>
      <c r="F441" s="4">
        <v>1</v>
      </c>
      <c r="G441" s="4">
        <v>1</v>
      </c>
      <c r="H441" s="4">
        <v>0</v>
      </c>
      <c r="I441" s="4" t="s">
        <v>1</v>
      </c>
      <c r="K4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0.56512538163892234</v>
      </c>
    </row>
    <row r="442" spans="1:11" x14ac:dyDescent="0.3">
      <c r="A442" s="4">
        <v>29</v>
      </c>
      <c r="B442" s="4">
        <v>1100000</v>
      </c>
      <c r="C442" s="4">
        <v>5</v>
      </c>
      <c r="D442" s="4">
        <v>0</v>
      </c>
      <c r="E442" s="4">
        <v>1</v>
      </c>
      <c r="F442" s="4">
        <v>0</v>
      </c>
      <c r="G442" s="4">
        <v>1</v>
      </c>
      <c r="H442" s="4">
        <v>0</v>
      </c>
      <c r="I442" s="4" t="s">
        <v>1</v>
      </c>
      <c r="K4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0.37323388199123336</v>
      </c>
    </row>
    <row r="443" spans="1:11" x14ac:dyDescent="0.3">
      <c r="A443" s="4">
        <v>28</v>
      </c>
      <c r="B443" s="4">
        <v>300000</v>
      </c>
      <c r="C443" s="4">
        <v>5</v>
      </c>
      <c r="D443" s="4">
        <v>1</v>
      </c>
      <c r="E443" s="4">
        <v>1</v>
      </c>
      <c r="F443" s="4">
        <v>0</v>
      </c>
      <c r="G443" s="4">
        <v>0</v>
      </c>
      <c r="H443" s="4">
        <v>0</v>
      </c>
      <c r="I443" s="4" t="s">
        <v>1</v>
      </c>
      <c r="K4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2.7049939743934159E-3</v>
      </c>
    </row>
    <row r="444" spans="1:11" x14ac:dyDescent="0.3">
      <c r="A444" s="4">
        <v>29</v>
      </c>
      <c r="B444" s="4">
        <v>1200000</v>
      </c>
      <c r="C444" s="4">
        <v>4</v>
      </c>
      <c r="D444" s="4">
        <v>0</v>
      </c>
      <c r="E444" s="4">
        <v>1</v>
      </c>
      <c r="F444" s="4">
        <v>0</v>
      </c>
      <c r="G444" s="4">
        <v>0</v>
      </c>
      <c r="H444" s="4">
        <v>0</v>
      </c>
      <c r="I444" s="4" t="s">
        <v>1</v>
      </c>
      <c r="K4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445" spans="1:11" x14ac:dyDescent="0.3">
      <c r="A445" s="4">
        <v>30</v>
      </c>
      <c r="B445" s="4">
        <v>650000</v>
      </c>
      <c r="C445" s="4">
        <v>6</v>
      </c>
      <c r="D445" s="4">
        <v>0</v>
      </c>
      <c r="E445" s="4">
        <v>0</v>
      </c>
      <c r="F445" s="4">
        <v>0</v>
      </c>
      <c r="G445" s="4">
        <v>1</v>
      </c>
      <c r="H445" s="4">
        <v>0</v>
      </c>
      <c r="I445" s="4" t="s">
        <v>1</v>
      </c>
      <c r="K4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0.34721283076947396</v>
      </c>
    </row>
    <row r="446" spans="1:11" x14ac:dyDescent="0.3">
      <c r="A446" s="4">
        <v>33</v>
      </c>
      <c r="B446" s="4">
        <v>700000</v>
      </c>
      <c r="C446" s="4">
        <v>4</v>
      </c>
      <c r="D446" s="4">
        <v>1</v>
      </c>
      <c r="E446" s="4">
        <v>1</v>
      </c>
      <c r="F446" s="4">
        <v>0</v>
      </c>
      <c r="G446" s="4">
        <v>0</v>
      </c>
      <c r="H446" s="4">
        <v>0</v>
      </c>
      <c r="I446" s="4" t="s">
        <v>1</v>
      </c>
      <c r="K4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0.1760183411008302</v>
      </c>
    </row>
    <row r="447" spans="1:11" x14ac:dyDescent="0.3">
      <c r="A447" s="4">
        <v>26</v>
      </c>
      <c r="B447" s="4">
        <v>1500000</v>
      </c>
      <c r="C447" s="4">
        <v>2</v>
      </c>
      <c r="D447" s="4">
        <v>0</v>
      </c>
      <c r="E447" s="4">
        <v>1</v>
      </c>
      <c r="F447" s="4">
        <v>0</v>
      </c>
      <c r="G447" s="4">
        <v>1</v>
      </c>
      <c r="H447" s="4">
        <v>1</v>
      </c>
      <c r="I447" s="4" t="s">
        <v>1</v>
      </c>
      <c r="K4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0.75339770418197038</v>
      </c>
    </row>
    <row r="448" spans="1:11" x14ac:dyDescent="0.3">
      <c r="A448" s="4">
        <v>28</v>
      </c>
      <c r="B448" s="4">
        <v>550000</v>
      </c>
      <c r="C448" s="4">
        <v>5</v>
      </c>
      <c r="D448" s="4">
        <v>0</v>
      </c>
      <c r="E448" s="4">
        <v>1</v>
      </c>
      <c r="F448" s="4">
        <v>0</v>
      </c>
      <c r="G448" s="4">
        <v>1</v>
      </c>
      <c r="H448" s="4">
        <v>0</v>
      </c>
      <c r="I448" s="4" t="s">
        <v>1</v>
      </c>
      <c r="K4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0.1912418417262472</v>
      </c>
    </row>
    <row r="449" spans="1:11" x14ac:dyDescent="0.3">
      <c r="A449" s="4">
        <v>31</v>
      </c>
      <c r="B449" s="4">
        <v>400000</v>
      </c>
      <c r="C449" s="4">
        <v>3</v>
      </c>
      <c r="D449" s="4">
        <v>1</v>
      </c>
      <c r="E449" s="4">
        <v>1</v>
      </c>
      <c r="F449" s="4">
        <v>0</v>
      </c>
      <c r="G449" s="4">
        <v>0</v>
      </c>
      <c r="H449" s="4">
        <v>0</v>
      </c>
      <c r="I449" s="4" t="s">
        <v>1</v>
      </c>
      <c r="K4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3.9664282879160365E-2</v>
      </c>
    </row>
    <row r="450" spans="1:11" x14ac:dyDescent="0.3">
      <c r="A450" s="4">
        <v>34</v>
      </c>
      <c r="B450" s="4">
        <v>1300000</v>
      </c>
      <c r="C450" s="4">
        <v>4</v>
      </c>
      <c r="D450" s="4">
        <v>1</v>
      </c>
      <c r="E450" s="4">
        <v>1</v>
      </c>
      <c r="F450" s="4">
        <v>0</v>
      </c>
      <c r="G450" s="4">
        <v>0</v>
      </c>
      <c r="H450" s="4">
        <v>0</v>
      </c>
      <c r="I450" s="4" t="s">
        <v>1</v>
      </c>
      <c r="K4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0.37331636353259096</v>
      </c>
    </row>
    <row r="451" spans="1:11" x14ac:dyDescent="0.3">
      <c r="A451" s="4">
        <v>35</v>
      </c>
      <c r="B451" s="4">
        <v>1100000</v>
      </c>
      <c r="C451" s="4">
        <v>3</v>
      </c>
      <c r="D451" s="4">
        <v>1</v>
      </c>
      <c r="E451" s="4">
        <v>1</v>
      </c>
      <c r="F451" s="4">
        <v>1</v>
      </c>
      <c r="G451" s="4">
        <v>0</v>
      </c>
      <c r="H451" s="4">
        <v>0</v>
      </c>
      <c r="I451" s="4" t="s">
        <v>1</v>
      </c>
      <c r="K4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0.32329998161048806</v>
      </c>
    </row>
    <row r="452" spans="1:11" x14ac:dyDescent="0.3">
      <c r="A452" s="4">
        <v>31</v>
      </c>
      <c r="B452" s="4">
        <v>1250000</v>
      </c>
      <c r="C452" s="4">
        <v>7</v>
      </c>
      <c r="D452" s="4">
        <v>0</v>
      </c>
      <c r="E452" s="4">
        <v>1</v>
      </c>
      <c r="F452" s="4">
        <v>0</v>
      </c>
      <c r="G452" s="4">
        <v>0</v>
      </c>
      <c r="H452" s="4">
        <v>0</v>
      </c>
      <c r="I452" s="4" t="s">
        <v>1</v>
      </c>
      <c r="K4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0.38974876686294035</v>
      </c>
    </row>
    <row r="453" spans="1:11" x14ac:dyDescent="0.3">
      <c r="A453" s="4">
        <v>28</v>
      </c>
      <c r="B453" s="4">
        <v>1100000</v>
      </c>
      <c r="C453" s="4">
        <v>7</v>
      </c>
      <c r="D453" s="4">
        <v>0</v>
      </c>
      <c r="E453" s="4">
        <v>1</v>
      </c>
      <c r="F453" s="4">
        <v>1</v>
      </c>
      <c r="G453" s="4">
        <v>0</v>
      </c>
      <c r="H453" s="4">
        <v>0</v>
      </c>
      <c r="I453" s="4" t="s">
        <v>1</v>
      </c>
      <c r="K4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0.31779911374583775</v>
      </c>
    </row>
    <row r="454" spans="1:11" x14ac:dyDescent="0.3">
      <c r="A454" s="4">
        <v>27</v>
      </c>
      <c r="B454" s="4">
        <v>600000</v>
      </c>
      <c r="C454" s="4">
        <v>6</v>
      </c>
      <c r="D454" s="4">
        <v>0</v>
      </c>
      <c r="E454" s="4">
        <v>0</v>
      </c>
      <c r="F454" s="4">
        <v>0</v>
      </c>
      <c r="G454" s="4">
        <v>0</v>
      </c>
      <c r="H454" s="4">
        <v>0</v>
      </c>
      <c r="I454" s="4" t="s">
        <v>1</v>
      </c>
      <c r="K4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0.19984122010157135</v>
      </c>
    </row>
    <row r="455" spans="1:11" x14ac:dyDescent="0.3">
      <c r="A455" s="4">
        <v>35</v>
      </c>
      <c r="B455" s="4">
        <v>800000</v>
      </c>
      <c r="C455" s="4">
        <v>5</v>
      </c>
      <c r="D455" s="4">
        <v>0</v>
      </c>
      <c r="E455" s="4">
        <v>0</v>
      </c>
      <c r="F455" s="4">
        <v>0</v>
      </c>
      <c r="G455" s="4">
        <v>0</v>
      </c>
      <c r="H455" s="4">
        <v>0</v>
      </c>
      <c r="I455" s="4" t="s">
        <v>1</v>
      </c>
      <c r="K4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0.35280934785230833</v>
      </c>
    </row>
    <row r="456" spans="1:11" x14ac:dyDescent="0.3">
      <c r="A456" s="4">
        <v>28</v>
      </c>
      <c r="B456" s="4">
        <v>900000</v>
      </c>
      <c r="C456" s="4">
        <v>6</v>
      </c>
      <c r="D456" s="4">
        <v>0</v>
      </c>
      <c r="E456" s="4">
        <v>1</v>
      </c>
      <c r="F456" s="4">
        <v>1</v>
      </c>
      <c r="G456" s="4">
        <v>1</v>
      </c>
      <c r="H456" s="4">
        <v>0</v>
      </c>
      <c r="I456" s="4" t="s">
        <v>1</v>
      </c>
      <c r="K4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0.33049641192837881</v>
      </c>
    </row>
    <row r="457" spans="1:11" x14ac:dyDescent="0.3">
      <c r="A457" s="4">
        <v>26</v>
      </c>
      <c r="B457" s="4">
        <v>500000</v>
      </c>
      <c r="C457" s="4">
        <v>4</v>
      </c>
      <c r="D457" s="4">
        <v>0</v>
      </c>
      <c r="E457" s="4">
        <v>1</v>
      </c>
      <c r="F457" s="4">
        <v>0</v>
      </c>
      <c r="G457" s="4">
        <v>0</v>
      </c>
      <c r="H457" s="4">
        <v>0</v>
      </c>
      <c r="I457" s="4" t="s">
        <v>1</v>
      </c>
      <c r="K4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4.0230775128720517E-2</v>
      </c>
    </row>
    <row r="458" spans="1:11" x14ac:dyDescent="0.3">
      <c r="A458" s="4">
        <v>28</v>
      </c>
      <c r="B458" s="4">
        <v>750000</v>
      </c>
      <c r="C458" s="4">
        <v>4</v>
      </c>
      <c r="D458" s="4">
        <v>0</v>
      </c>
      <c r="E458" s="4">
        <v>1</v>
      </c>
      <c r="F458" s="4">
        <v>0</v>
      </c>
      <c r="G458" s="4">
        <v>1</v>
      </c>
      <c r="H458" s="4">
        <v>1</v>
      </c>
      <c r="I458" s="4" t="s">
        <v>1</v>
      </c>
      <c r="K4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0.58559182926146502</v>
      </c>
    </row>
    <row r="459" spans="1:11" x14ac:dyDescent="0.3">
      <c r="A459" s="4">
        <v>33</v>
      </c>
      <c r="B459" s="4">
        <v>750000</v>
      </c>
      <c r="C459" s="4">
        <v>4</v>
      </c>
      <c r="D459" s="4">
        <v>0</v>
      </c>
      <c r="E459" s="4">
        <v>1</v>
      </c>
      <c r="F459" s="4">
        <v>1</v>
      </c>
      <c r="G459" s="4">
        <v>0</v>
      </c>
      <c r="H459" s="4">
        <v>0</v>
      </c>
      <c r="I459" s="4" t="s">
        <v>1</v>
      </c>
      <c r="K4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0.2269913436504756</v>
      </c>
    </row>
    <row r="460" spans="1:11" x14ac:dyDescent="0.3">
      <c r="A460" s="4">
        <v>27</v>
      </c>
      <c r="B460" s="4">
        <v>750000</v>
      </c>
      <c r="C460" s="4">
        <v>6</v>
      </c>
      <c r="D460" s="4">
        <v>1</v>
      </c>
      <c r="E460" s="4">
        <v>1</v>
      </c>
      <c r="F460" s="4">
        <v>0</v>
      </c>
      <c r="G460" s="4">
        <v>0</v>
      </c>
      <c r="H460" s="4">
        <v>0</v>
      </c>
      <c r="I460" s="4" t="s">
        <v>1</v>
      </c>
      <c r="K4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0.14409828940498853</v>
      </c>
    </row>
    <row r="461" spans="1:11" x14ac:dyDescent="0.3">
      <c r="A461" s="4">
        <v>27</v>
      </c>
      <c r="B461" s="4">
        <v>500000</v>
      </c>
      <c r="C461" s="4">
        <v>4</v>
      </c>
      <c r="D461" s="4">
        <v>1</v>
      </c>
      <c r="E461" s="4">
        <v>1</v>
      </c>
      <c r="F461" s="4">
        <v>0</v>
      </c>
      <c r="G461" s="4">
        <v>0</v>
      </c>
      <c r="H461" s="4">
        <v>0</v>
      </c>
      <c r="I461" s="4" t="s">
        <v>1</v>
      </c>
      <c r="K4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3.3036993850935212E-2</v>
      </c>
    </row>
    <row r="462" spans="1:11" x14ac:dyDescent="0.3">
      <c r="A462" s="4">
        <v>31</v>
      </c>
      <c r="B462" s="4">
        <v>300000</v>
      </c>
      <c r="C462" s="4">
        <v>4</v>
      </c>
      <c r="D462" s="4">
        <v>1</v>
      </c>
      <c r="E462" s="4">
        <v>0</v>
      </c>
      <c r="F462" s="4">
        <v>0</v>
      </c>
      <c r="G462" s="4">
        <v>0</v>
      </c>
      <c r="H462" s="4">
        <v>0</v>
      </c>
      <c r="I462" s="4" t="s">
        <v>1</v>
      </c>
      <c r="K4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0.10715887039435656</v>
      </c>
    </row>
    <row r="463" spans="1:11" x14ac:dyDescent="0.3">
      <c r="A463" s="4">
        <v>28</v>
      </c>
      <c r="B463" s="4">
        <v>500000</v>
      </c>
      <c r="C463" s="4">
        <v>5</v>
      </c>
      <c r="D463" s="4">
        <v>0</v>
      </c>
      <c r="E463" s="4">
        <v>1</v>
      </c>
      <c r="F463" s="4">
        <v>0</v>
      </c>
      <c r="G463" s="4">
        <v>0</v>
      </c>
      <c r="H463" s="4">
        <v>0</v>
      </c>
      <c r="I463" s="4" t="s">
        <v>1</v>
      </c>
      <c r="K4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8.4748940349743049E-2</v>
      </c>
    </row>
    <row r="464" spans="1:11" x14ac:dyDescent="0.3">
      <c r="A464" s="4">
        <v>29</v>
      </c>
      <c r="B464" s="4">
        <v>1200000</v>
      </c>
      <c r="C464" s="4">
        <v>4</v>
      </c>
      <c r="D464" s="4">
        <v>0</v>
      </c>
      <c r="E464" s="4">
        <v>1</v>
      </c>
      <c r="F464" s="4">
        <v>0</v>
      </c>
      <c r="G464" s="4">
        <v>0</v>
      </c>
      <c r="H464" s="4">
        <v>0</v>
      </c>
      <c r="I464" s="4" t="s">
        <v>1</v>
      </c>
      <c r="K4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465" spans="1:11" x14ac:dyDescent="0.3">
      <c r="A465" s="4">
        <v>26</v>
      </c>
      <c r="B465" s="4">
        <v>1500000</v>
      </c>
      <c r="C465" s="4">
        <v>3</v>
      </c>
      <c r="D465" s="4">
        <v>0</v>
      </c>
      <c r="E465" s="4">
        <v>1</v>
      </c>
      <c r="F465" s="4">
        <v>0</v>
      </c>
      <c r="G465" s="4">
        <v>1</v>
      </c>
      <c r="H465" s="4">
        <v>1</v>
      </c>
      <c r="I465" s="4" t="s">
        <v>1</v>
      </c>
      <c r="K4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0.77066339654206062</v>
      </c>
    </row>
    <row r="466" spans="1:11" x14ac:dyDescent="0.3">
      <c r="A466" s="4">
        <v>28</v>
      </c>
      <c r="B466" s="4">
        <v>700000</v>
      </c>
      <c r="C466" s="4">
        <v>5</v>
      </c>
      <c r="D466" s="4">
        <v>0</v>
      </c>
      <c r="E466" s="4">
        <v>1</v>
      </c>
      <c r="F466" s="4">
        <v>0</v>
      </c>
      <c r="G466" s="4">
        <v>1</v>
      </c>
      <c r="H466" s="4">
        <v>0</v>
      </c>
      <c r="I466" s="4" t="s">
        <v>1</v>
      </c>
      <c r="K4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0.23715978822657086</v>
      </c>
    </row>
    <row r="467" spans="1:11" x14ac:dyDescent="0.3">
      <c r="A467" s="4">
        <v>25</v>
      </c>
      <c r="B467" s="4">
        <v>1400000</v>
      </c>
      <c r="C467" s="4">
        <v>5</v>
      </c>
      <c r="D467" s="4">
        <v>0</v>
      </c>
      <c r="E467" s="4">
        <v>1</v>
      </c>
      <c r="F467" s="4">
        <v>0</v>
      </c>
      <c r="G467" s="4">
        <v>1</v>
      </c>
      <c r="H467" s="4">
        <v>1</v>
      </c>
      <c r="I467" s="4" t="s">
        <v>1</v>
      </c>
      <c r="K4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0.76095658049822612</v>
      </c>
    </row>
    <row r="468" spans="1:11" x14ac:dyDescent="0.3">
      <c r="A468" s="4">
        <v>28</v>
      </c>
      <c r="B468" s="4">
        <v>600000</v>
      </c>
      <c r="C468" s="4">
        <v>3</v>
      </c>
      <c r="D468" s="4">
        <v>0</v>
      </c>
      <c r="E468" s="4">
        <v>1</v>
      </c>
      <c r="F468" s="4">
        <v>0</v>
      </c>
      <c r="G468" s="4">
        <v>0</v>
      </c>
      <c r="H468" s="4">
        <v>0</v>
      </c>
      <c r="I468" s="4" t="s">
        <v>1</v>
      </c>
      <c r="K4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8.0829519963111565E-2</v>
      </c>
    </row>
    <row r="469" spans="1:11" x14ac:dyDescent="0.3">
      <c r="A469" s="4">
        <v>34</v>
      </c>
      <c r="B469" s="4">
        <v>700000</v>
      </c>
      <c r="C469" s="4">
        <v>7</v>
      </c>
      <c r="D469" s="4">
        <v>0</v>
      </c>
      <c r="E469" s="4">
        <v>1</v>
      </c>
      <c r="F469" s="4">
        <v>0</v>
      </c>
      <c r="G469" s="4">
        <v>0</v>
      </c>
      <c r="H469" s="4">
        <v>0</v>
      </c>
      <c r="I469" s="4" t="s">
        <v>1</v>
      </c>
      <c r="K4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0.26226167231981867</v>
      </c>
    </row>
    <row r="470" spans="1:11" x14ac:dyDescent="0.3">
      <c r="A470" s="4">
        <v>28</v>
      </c>
      <c r="B470" s="4">
        <v>300000</v>
      </c>
      <c r="C470" s="4">
        <v>4</v>
      </c>
      <c r="D470" s="4">
        <v>1</v>
      </c>
      <c r="E470" s="4">
        <v>1</v>
      </c>
      <c r="F470" s="4">
        <v>0</v>
      </c>
      <c r="G470" s="4">
        <v>0</v>
      </c>
      <c r="H470" s="4">
        <v>0</v>
      </c>
      <c r="I470" s="4" t="s">
        <v>1</v>
      </c>
      <c r="K4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-1.4560698385696874E-2</v>
      </c>
    </row>
    <row r="471" spans="1:11" x14ac:dyDescent="0.3">
      <c r="A471" s="4">
        <v>28</v>
      </c>
      <c r="B471" s="4">
        <v>1150000</v>
      </c>
      <c r="C471" s="4">
        <v>6</v>
      </c>
      <c r="D471" s="4">
        <v>0</v>
      </c>
      <c r="E471" s="4">
        <v>1</v>
      </c>
      <c r="F471" s="4">
        <v>0</v>
      </c>
      <c r="G471" s="4">
        <v>0</v>
      </c>
      <c r="H471" s="4">
        <v>0</v>
      </c>
      <c r="I471" s="4" t="s">
        <v>1</v>
      </c>
      <c r="K4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0.30099240087790252</v>
      </c>
    </row>
    <row r="472" spans="1:11" x14ac:dyDescent="0.3">
      <c r="A472" s="4">
        <v>34</v>
      </c>
      <c r="B472" s="4">
        <v>1000000</v>
      </c>
      <c r="C472" s="4">
        <v>5</v>
      </c>
      <c r="D472" s="4">
        <v>0</v>
      </c>
      <c r="E472" s="4">
        <v>1</v>
      </c>
      <c r="F472" s="4">
        <v>1</v>
      </c>
      <c r="G472" s="4">
        <v>0</v>
      </c>
      <c r="H472" s="4">
        <v>0</v>
      </c>
      <c r="I472" s="4" t="s">
        <v>1</v>
      </c>
      <c r="K4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0.33441318327490477</v>
      </c>
    </row>
    <row r="473" spans="1:11" x14ac:dyDescent="0.3">
      <c r="A473" s="4">
        <v>28</v>
      </c>
      <c r="B473" s="4">
        <v>600000</v>
      </c>
      <c r="C473" s="4">
        <v>4</v>
      </c>
      <c r="D473" s="4">
        <v>1</v>
      </c>
      <c r="E473" s="4">
        <v>1</v>
      </c>
      <c r="F473" s="4">
        <v>0</v>
      </c>
      <c r="G473" s="4">
        <v>1</v>
      </c>
      <c r="H473" s="4">
        <v>0</v>
      </c>
      <c r="I473" s="4" t="s">
        <v>1</v>
      </c>
      <c r="K4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0.16846211382468002</v>
      </c>
    </row>
    <row r="474" spans="1:11" x14ac:dyDescent="0.3">
      <c r="A474" s="4">
        <v>28</v>
      </c>
      <c r="B474" s="4">
        <v>1300000</v>
      </c>
      <c r="C474" s="4">
        <v>6</v>
      </c>
      <c r="D474" s="4">
        <v>0</v>
      </c>
      <c r="E474" s="4">
        <v>1</v>
      </c>
      <c r="F474" s="4">
        <v>0</v>
      </c>
      <c r="G474" s="4">
        <v>0</v>
      </c>
      <c r="H474" s="4">
        <v>0</v>
      </c>
      <c r="I474" s="4" t="s">
        <v>1</v>
      </c>
      <c r="K4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0.34691034737822618</v>
      </c>
    </row>
    <row r="475" spans="1:11" x14ac:dyDescent="0.3">
      <c r="A475" s="4">
        <v>28</v>
      </c>
      <c r="B475" s="4">
        <v>800000</v>
      </c>
      <c r="C475" s="4">
        <v>5</v>
      </c>
      <c r="D475" s="4">
        <v>0</v>
      </c>
      <c r="E475" s="4">
        <v>1</v>
      </c>
      <c r="F475" s="4">
        <v>1</v>
      </c>
      <c r="G475" s="4">
        <v>0</v>
      </c>
      <c r="H475" s="4">
        <v>0</v>
      </c>
      <c r="I475" s="4" t="s">
        <v>1</v>
      </c>
      <c r="K4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0.19143183602500977</v>
      </c>
    </row>
    <row r="476" spans="1:11" x14ac:dyDescent="0.3">
      <c r="A476" s="4">
        <v>34</v>
      </c>
      <c r="B476" s="4">
        <v>700000</v>
      </c>
      <c r="C476" s="4">
        <v>2</v>
      </c>
      <c r="D476" s="4">
        <v>0</v>
      </c>
      <c r="E476" s="4">
        <v>1</v>
      </c>
      <c r="F476" s="4">
        <v>0</v>
      </c>
      <c r="G476" s="4">
        <v>0</v>
      </c>
      <c r="H476" s="4">
        <v>0</v>
      </c>
      <c r="I476" s="4" t="s">
        <v>1</v>
      </c>
      <c r="K4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0.17593321051936717</v>
      </c>
    </row>
    <row r="477" spans="1:11" x14ac:dyDescent="0.3">
      <c r="A477" s="4">
        <v>31</v>
      </c>
      <c r="B477" s="4">
        <v>1250000</v>
      </c>
      <c r="C477" s="4">
        <v>3</v>
      </c>
      <c r="D477" s="4">
        <v>0</v>
      </c>
      <c r="E477" s="4">
        <v>1</v>
      </c>
      <c r="F477" s="4">
        <v>0</v>
      </c>
      <c r="G477" s="4">
        <v>0</v>
      </c>
      <c r="H477" s="4">
        <v>0</v>
      </c>
      <c r="I477" s="4" t="s">
        <v>1</v>
      </c>
      <c r="K4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0.32068599742257914</v>
      </c>
    </row>
    <row r="478" spans="1:11" x14ac:dyDescent="0.3">
      <c r="A478" s="4">
        <v>29</v>
      </c>
      <c r="B478" s="4">
        <v>1050000</v>
      </c>
      <c r="C478" s="4">
        <v>3</v>
      </c>
      <c r="D478" s="4">
        <v>0</v>
      </c>
      <c r="E478" s="4">
        <v>1</v>
      </c>
      <c r="F478" s="4">
        <v>1</v>
      </c>
      <c r="G478" s="4">
        <v>0</v>
      </c>
      <c r="H478" s="4">
        <v>0</v>
      </c>
      <c r="I478" s="4" t="s">
        <v>1</v>
      </c>
      <c r="K4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0.24705659856916803</v>
      </c>
    </row>
    <row r="479" spans="1:11" x14ac:dyDescent="0.3">
      <c r="A479" s="4">
        <v>28</v>
      </c>
      <c r="B479" s="4">
        <v>600000</v>
      </c>
      <c r="C479" s="4">
        <v>3</v>
      </c>
      <c r="D479" s="4">
        <v>0</v>
      </c>
      <c r="E479" s="4">
        <v>1</v>
      </c>
      <c r="F479" s="4">
        <v>0</v>
      </c>
      <c r="G479" s="4">
        <v>0</v>
      </c>
      <c r="H479" s="4">
        <v>0</v>
      </c>
      <c r="I479" s="4" t="s">
        <v>1</v>
      </c>
      <c r="K4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8.0829519963111565E-2</v>
      </c>
    </row>
    <row r="480" spans="1:11" x14ac:dyDescent="0.3">
      <c r="A480" s="4">
        <v>34</v>
      </c>
      <c r="B480" s="4">
        <v>1400000</v>
      </c>
      <c r="C480" s="4">
        <v>4</v>
      </c>
      <c r="D480" s="4">
        <v>0</v>
      </c>
      <c r="E480" s="4">
        <v>0</v>
      </c>
      <c r="F480" s="4">
        <v>0</v>
      </c>
      <c r="G480" s="4">
        <v>0</v>
      </c>
      <c r="H480" s="4">
        <v>1</v>
      </c>
      <c r="I480" s="4" t="s">
        <v>1</v>
      </c>
      <c r="K4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0.85598095629125637</v>
      </c>
    </row>
    <row r="481" spans="1:11" x14ac:dyDescent="0.3">
      <c r="A481" s="4">
        <v>29</v>
      </c>
      <c r="B481" s="4">
        <v>900000</v>
      </c>
      <c r="C481" s="4">
        <v>3</v>
      </c>
      <c r="D481" s="4">
        <v>0</v>
      </c>
      <c r="E481" s="4">
        <v>1</v>
      </c>
      <c r="F481" s="4">
        <v>0</v>
      </c>
      <c r="G481" s="4">
        <v>0</v>
      </c>
      <c r="H481" s="4">
        <v>0</v>
      </c>
      <c r="I481" s="4" t="s">
        <v>1</v>
      </c>
      <c r="K4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0.18629164939422499</v>
      </c>
    </row>
    <row r="482" spans="1:11" x14ac:dyDescent="0.3">
      <c r="A482" s="4">
        <v>31</v>
      </c>
      <c r="B482" s="4">
        <v>1400000</v>
      </c>
      <c r="C482" s="4">
        <v>6</v>
      </c>
      <c r="D482" s="4">
        <v>0</v>
      </c>
      <c r="E482" s="4">
        <v>1</v>
      </c>
      <c r="F482" s="4">
        <v>0</v>
      </c>
      <c r="G482" s="4">
        <v>0</v>
      </c>
      <c r="H482" s="4">
        <v>1</v>
      </c>
      <c r="I482" s="4" t="s">
        <v>1</v>
      </c>
      <c r="K4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0.76879277223138365</v>
      </c>
    </row>
    <row r="483" spans="1:11" x14ac:dyDescent="0.3">
      <c r="A483" s="4">
        <v>28</v>
      </c>
      <c r="B483" s="4">
        <v>1150000</v>
      </c>
      <c r="C483" s="4">
        <v>2</v>
      </c>
      <c r="D483" s="4">
        <v>0</v>
      </c>
      <c r="E483" s="4">
        <v>1</v>
      </c>
      <c r="F483" s="4">
        <v>0</v>
      </c>
      <c r="G483" s="4">
        <v>0</v>
      </c>
      <c r="H483" s="4">
        <v>0</v>
      </c>
      <c r="I483" s="4" t="s">
        <v>1</v>
      </c>
      <c r="K4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0.23192963143754131</v>
      </c>
    </row>
    <row r="484" spans="1:11" x14ac:dyDescent="0.3">
      <c r="A484" s="4">
        <v>34</v>
      </c>
      <c r="B484" s="4">
        <v>1300000</v>
      </c>
      <c r="C484" s="4">
        <v>3</v>
      </c>
      <c r="D484" s="4">
        <v>0</v>
      </c>
      <c r="E484" s="4">
        <v>1</v>
      </c>
      <c r="F484" s="4">
        <v>0</v>
      </c>
      <c r="G484" s="4">
        <v>0</v>
      </c>
      <c r="H484" s="4">
        <v>0</v>
      </c>
      <c r="I484" s="4" t="s">
        <v>1</v>
      </c>
      <c r="K4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0.37687068888075204</v>
      </c>
    </row>
    <row r="485" spans="1:11" x14ac:dyDescent="0.3">
      <c r="A485" s="4">
        <v>34</v>
      </c>
      <c r="B485" s="4">
        <v>1050000</v>
      </c>
      <c r="C485" s="4">
        <v>4</v>
      </c>
      <c r="D485" s="4">
        <v>0</v>
      </c>
      <c r="E485" s="4">
        <v>1</v>
      </c>
      <c r="F485" s="4">
        <v>0</v>
      </c>
      <c r="G485" s="4">
        <v>0</v>
      </c>
      <c r="H485" s="4">
        <v>0</v>
      </c>
      <c r="I485" s="4" t="s">
        <v>1</v>
      </c>
      <c r="K4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0.31760647040696954</v>
      </c>
    </row>
    <row r="486" spans="1:11" x14ac:dyDescent="0.3">
      <c r="A486" s="4">
        <v>28</v>
      </c>
      <c r="B486" s="4">
        <v>600000</v>
      </c>
      <c r="C486" s="4">
        <v>3</v>
      </c>
      <c r="D486" s="4">
        <v>1</v>
      </c>
      <c r="E486" s="4">
        <v>1</v>
      </c>
      <c r="F486" s="4">
        <v>0</v>
      </c>
      <c r="G486" s="4">
        <v>0</v>
      </c>
      <c r="H486" s="4">
        <v>0</v>
      </c>
      <c r="I486" s="4" t="s">
        <v>1</v>
      </c>
      <c r="K4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6.0009502254860139E-2</v>
      </c>
    </row>
    <row r="487" spans="1:11" x14ac:dyDescent="0.3">
      <c r="A487" s="4">
        <v>25</v>
      </c>
      <c r="B487" s="4">
        <v>1400000</v>
      </c>
      <c r="C487" s="4">
        <v>7</v>
      </c>
      <c r="D487" s="4">
        <v>0</v>
      </c>
      <c r="E487" s="4">
        <v>1</v>
      </c>
      <c r="F487" s="4">
        <v>0</v>
      </c>
      <c r="G487" s="4">
        <v>0</v>
      </c>
      <c r="H487" s="4">
        <v>1</v>
      </c>
      <c r="I487" s="4" t="s">
        <v>1</v>
      </c>
      <c r="K4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0.70430104600867705</v>
      </c>
    </row>
    <row r="488" spans="1:11" x14ac:dyDescent="0.3">
      <c r="A488" s="4">
        <v>34</v>
      </c>
      <c r="B488" s="4">
        <v>1300000</v>
      </c>
      <c r="C488" s="4">
        <v>5</v>
      </c>
      <c r="D488" s="4">
        <v>1</v>
      </c>
      <c r="E488" s="4">
        <v>1</v>
      </c>
      <c r="F488" s="4">
        <v>0</v>
      </c>
      <c r="G488" s="4">
        <v>0</v>
      </c>
      <c r="H488" s="4">
        <v>0</v>
      </c>
      <c r="I488" s="4" t="s">
        <v>1</v>
      </c>
      <c r="K4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0.39058205589268119</v>
      </c>
    </row>
    <row r="489" spans="1:11" x14ac:dyDescent="0.3">
      <c r="A489" s="4">
        <v>31</v>
      </c>
      <c r="B489" s="4">
        <v>400000</v>
      </c>
      <c r="C489" s="4">
        <v>4</v>
      </c>
      <c r="D489" s="4">
        <v>1</v>
      </c>
      <c r="E489" s="4">
        <v>1</v>
      </c>
      <c r="F489" s="4">
        <v>0</v>
      </c>
      <c r="G489" s="4">
        <v>0</v>
      </c>
      <c r="H489" s="4">
        <v>0</v>
      </c>
      <c r="I489" s="4" t="s">
        <v>1</v>
      </c>
      <c r="K4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5.6929975239250655E-2</v>
      </c>
    </row>
    <row r="490" spans="1:11" x14ac:dyDescent="0.3">
      <c r="A490" s="4">
        <v>28</v>
      </c>
      <c r="B490" s="4">
        <v>900000</v>
      </c>
      <c r="C490" s="4">
        <v>4</v>
      </c>
      <c r="D490" s="4">
        <v>0</v>
      </c>
      <c r="E490" s="4">
        <v>1</v>
      </c>
      <c r="F490" s="4">
        <v>1</v>
      </c>
      <c r="G490" s="4">
        <v>0</v>
      </c>
      <c r="H490" s="4">
        <v>0</v>
      </c>
      <c r="I490" s="4" t="s">
        <v>1</v>
      </c>
      <c r="K4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0.2047781079984686</v>
      </c>
    </row>
    <row r="491" spans="1:11" x14ac:dyDescent="0.3">
      <c r="A491" s="4">
        <v>32</v>
      </c>
      <c r="B491" s="4">
        <v>850000</v>
      </c>
      <c r="C491" s="4">
        <v>7</v>
      </c>
      <c r="D491" s="4">
        <v>1</v>
      </c>
      <c r="E491" s="4">
        <v>1</v>
      </c>
      <c r="F491" s="4">
        <v>0</v>
      </c>
      <c r="G491" s="4">
        <v>0</v>
      </c>
      <c r="H491" s="4">
        <v>1</v>
      </c>
      <c r="I491" s="4" t="s">
        <v>1</v>
      </c>
      <c r="K4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0.61049887947916848</v>
      </c>
    </row>
    <row r="492" spans="1:11" x14ac:dyDescent="0.3">
      <c r="A492" s="4">
        <v>30</v>
      </c>
      <c r="B492" s="4">
        <v>800000</v>
      </c>
      <c r="C492" s="4">
        <v>4</v>
      </c>
      <c r="D492" s="4">
        <v>0</v>
      </c>
      <c r="E492" s="4">
        <v>0</v>
      </c>
      <c r="F492" s="4">
        <v>1</v>
      </c>
      <c r="G492" s="4">
        <v>1</v>
      </c>
      <c r="H492" s="4">
        <v>0</v>
      </c>
      <c r="I492" s="4" t="s">
        <v>1</v>
      </c>
      <c r="K4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0.37344639522423645</v>
      </c>
    </row>
    <row r="493" spans="1:11" x14ac:dyDescent="0.3">
      <c r="A493" s="4">
        <v>33</v>
      </c>
      <c r="B493" s="4">
        <v>400000</v>
      </c>
      <c r="C493" s="4">
        <v>4</v>
      </c>
      <c r="D493" s="4">
        <v>1</v>
      </c>
      <c r="E493" s="4">
        <v>1</v>
      </c>
      <c r="F493" s="4">
        <v>1</v>
      </c>
      <c r="G493" s="4">
        <v>0</v>
      </c>
      <c r="H493" s="4">
        <v>0</v>
      </c>
      <c r="I493" s="4" t="s">
        <v>1</v>
      </c>
      <c r="K4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9.9029450774802352E-2</v>
      </c>
    </row>
    <row r="494" spans="1:11" x14ac:dyDescent="0.3">
      <c r="A494" s="4">
        <v>34</v>
      </c>
      <c r="B494" s="4">
        <v>1300000</v>
      </c>
      <c r="C494" s="4">
        <v>5</v>
      </c>
      <c r="D494" s="4">
        <v>0</v>
      </c>
      <c r="E494" s="4">
        <v>0</v>
      </c>
      <c r="F494" s="4">
        <v>0</v>
      </c>
      <c r="G494" s="4">
        <v>0</v>
      </c>
      <c r="H494" s="4">
        <v>0</v>
      </c>
      <c r="I494" s="4" t="s">
        <v>1</v>
      </c>
      <c r="K4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0.49224293308958766</v>
      </c>
    </row>
    <row r="495" spans="1:11" x14ac:dyDescent="0.3">
      <c r="A495" s="4">
        <v>34</v>
      </c>
      <c r="B495" s="4">
        <v>700000</v>
      </c>
      <c r="C495" s="4">
        <v>2</v>
      </c>
      <c r="D495" s="4">
        <v>0</v>
      </c>
      <c r="E495" s="4">
        <v>1</v>
      </c>
      <c r="F495" s="4">
        <v>1</v>
      </c>
      <c r="G495" s="4">
        <v>1</v>
      </c>
      <c r="H495" s="4">
        <v>0</v>
      </c>
      <c r="I495" s="4" t="s">
        <v>1</v>
      </c>
      <c r="K4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0.28196713240371618</v>
      </c>
    </row>
    <row r="496" spans="1:11" x14ac:dyDescent="0.3">
      <c r="A496" s="4">
        <v>28</v>
      </c>
      <c r="B496" s="4">
        <v>800000</v>
      </c>
      <c r="C496" s="4">
        <v>4</v>
      </c>
      <c r="D496" s="4">
        <v>0</v>
      </c>
      <c r="E496" s="4">
        <v>1</v>
      </c>
      <c r="F496" s="4">
        <v>0</v>
      </c>
      <c r="G496" s="4">
        <v>0</v>
      </c>
      <c r="H496" s="4">
        <v>0</v>
      </c>
      <c r="I496" s="4" t="s">
        <v>1</v>
      </c>
      <c r="K4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0.15931914099030009</v>
      </c>
    </row>
    <row r="497" spans="1:11" x14ac:dyDescent="0.3">
      <c r="A497" s="4">
        <v>27</v>
      </c>
      <c r="B497" s="4">
        <v>500000</v>
      </c>
      <c r="C497" s="4">
        <v>6</v>
      </c>
      <c r="D497" s="4">
        <v>1</v>
      </c>
      <c r="E497" s="4">
        <v>1</v>
      </c>
      <c r="F497" s="4">
        <v>0</v>
      </c>
      <c r="G497" s="4">
        <v>0</v>
      </c>
      <c r="H497" s="4">
        <v>0</v>
      </c>
      <c r="I497" s="4" t="s">
        <v>1</v>
      </c>
      <c r="K4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6.756837857111582E-2</v>
      </c>
    </row>
    <row r="498" spans="1:11" x14ac:dyDescent="0.3">
      <c r="A498" s="4">
        <v>26</v>
      </c>
      <c r="B498" s="4">
        <v>500000</v>
      </c>
      <c r="C498" s="4">
        <v>6</v>
      </c>
      <c r="D498" s="4">
        <v>0</v>
      </c>
      <c r="E498" s="4">
        <v>1</v>
      </c>
      <c r="F498" s="4">
        <v>0</v>
      </c>
      <c r="G498" s="4">
        <v>0</v>
      </c>
      <c r="H498" s="4">
        <v>0</v>
      </c>
      <c r="I498" s="4" t="s">
        <v>1</v>
      </c>
      <c r="K4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7.4762159848901125E-2</v>
      </c>
    </row>
    <row r="499" spans="1:11" x14ac:dyDescent="0.3">
      <c r="A499" s="4">
        <v>28</v>
      </c>
      <c r="B499" s="4">
        <v>600000</v>
      </c>
      <c r="C499" s="4">
        <v>3</v>
      </c>
      <c r="D499" s="4">
        <v>0</v>
      </c>
      <c r="E499" s="4">
        <v>1</v>
      </c>
      <c r="F499" s="4">
        <v>0</v>
      </c>
      <c r="G499" s="4">
        <v>0</v>
      </c>
      <c r="H499" s="4">
        <v>0</v>
      </c>
      <c r="I499" s="4" t="s">
        <v>1</v>
      </c>
      <c r="K4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8.0829519963111565E-2</v>
      </c>
    </row>
    <row r="500" spans="1:11" x14ac:dyDescent="0.3">
      <c r="A500" s="4">
        <v>28</v>
      </c>
      <c r="B500" s="4">
        <v>300000</v>
      </c>
      <c r="C500" s="4">
        <v>5</v>
      </c>
      <c r="D500" s="4">
        <v>1</v>
      </c>
      <c r="E500" s="4">
        <v>1</v>
      </c>
      <c r="F500" s="4">
        <v>0</v>
      </c>
      <c r="G500" s="4">
        <v>0</v>
      </c>
      <c r="H500" s="4">
        <v>0</v>
      </c>
      <c r="I500" s="4" t="s">
        <v>1</v>
      </c>
      <c r="K5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2.7049939743934159E-3</v>
      </c>
    </row>
    <row r="501" spans="1:11" x14ac:dyDescent="0.3">
      <c r="A501" s="4">
        <v>29</v>
      </c>
      <c r="B501" s="4">
        <v>1100000</v>
      </c>
      <c r="C501" s="4">
        <v>4</v>
      </c>
      <c r="D501" s="4">
        <v>0</v>
      </c>
      <c r="E501" s="4">
        <v>1</v>
      </c>
      <c r="F501" s="4">
        <v>1</v>
      </c>
      <c r="G501" s="4">
        <v>0</v>
      </c>
      <c r="H501" s="4">
        <v>0</v>
      </c>
      <c r="I501" s="4" t="s">
        <v>1</v>
      </c>
      <c r="K5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0.279628273096033</v>
      </c>
    </row>
    <row r="502" spans="1:11" x14ac:dyDescent="0.3">
      <c r="A502" s="4">
        <v>35</v>
      </c>
      <c r="B502" s="4">
        <v>800000</v>
      </c>
      <c r="C502" s="4">
        <v>4</v>
      </c>
      <c r="D502" s="4">
        <v>0</v>
      </c>
      <c r="E502" s="4">
        <v>0</v>
      </c>
      <c r="F502" s="4">
        <v>0</v>
      </c>
      <c r="G502" s="4">
        <v>0</v>
      </c>
      <c r="H502" s="4">
        <v>0</v>
      </c>
      <c r="I502" s="4" t="s">
        <v>1</v>
      </c>
      <c r="K5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0.3355436554922181</v>
      </c>
    </row>
    <row r="503" spans="1:11" x14ac:dyDescent="0.3">
      <c r="A503" s="4">
        <v>33</v>
      </c>
      <c r="B503" s="4">
        <v>400000</v>
      </c>
      <c r="C503" s="4">
        <v>4</v>
      </c>
      <c r="D503" s="4">
        <v>1</v>
      </c>
      <c r="E503" s="4">
        <v>1</v>
      </c>
      <c r="F503" s="4">
        <v>0</v>
      </c>
      <c r="G503" s="4">
        <v>0</v>
      </c>
      <c r="H503" s="4">
        <v>0</v>
      </c>
      <c r="I503" s="4" t="s">
        <v>1</v>
      </c>
      <c r="K5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8.4182448100182897E-2</v>
      </c>
    </row>
    <row r="504" spans="1:11" x14ac:dyDescent="0.3">
      <c r="A504" s="4">
        <v>31</v>
      </c>
      <c r="B504" s="4">
        <v>900000</v>
      </c>
      <c r="C504" s="4">
        <v>3</v>
      </c>
      <c r="D504" s="4">
        <v>0</v>
      </c>
      <c r="E504" s="4">
        <v>1</v>
      </c>
      <c r="F504" s="4">
        <v>1</v>
      </c>
      <c r="G504" s="4">
        <v>0</v>
      </c>
      <c r="H504" s="4">
        <v>0</v>
      </c>
      <c r="I504" s="4" t="s">
        <v>1</v>
      </c>
      <c r="K5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0.22839112492977673</v>
      </c>
    </row>
    <row r="505" spans="1:11" x14ac:dyDescent="0.3">
      <c r="A505" s="4">
        <v>29</v>
      </c>
      <c r="B505" s="4">
        <v>1200000</v>
      </c>
      <c r="C505" s="4">
        <v>6</v>
      </c>
      <c r="D505" s="4">
        <v>0</v>
      </c>
      <c r="E505" s="4">
        <v>1</v>
      </c>
      <c r="F505" s="4">
        <v>1</v>
      </c>
      <c r="G505" s="4">
        <v>0</v>
      </c>
      <c r="H505" s="4">
        <v>0</v>
      </c>
      <c r="I505" s="4" t="s">
        <v>1</v>
      </c>
      <c r="K5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0.34477162214976265</v>
      </c>
    </row>
    <row r="506" spans="1:11" x14ac:dyDescent="0.3">
      <c r="A506" s="4">
        <v>26</v>
      </c>
      <c r="B506" s="4">
        <v>500000</v>
      </c>
      <c r="C506" s="4">
        <v>5</v>
      </c>
      <c r="D506" s="4">
        <v>0</v>
      </c>
      <c r="E506" s="4">
        <v>1</v>
      </c>
      <c r="F506" s="4">
        <v>0</v>
      </c>
      <c r="G506" s="4">
        <v>0</v>
      </c>
      <c r="H506" s="4">
        <v>0</v>
      </c>
      <c r="I506" s="4" t="s">
        <v>1</v>
      </c>
      <c r="K5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5.7496467488810807E-2</v>
      </c>
    </row>
    <row r="507" spans="1:11" x14ac:dyDescent="0.3">
      <c r="A507" s="4">
        <v>34</v>
      </c>
      <c r="B507" s="4">
        <v>1300000</v>
      </c>
      <c r="C507" s="4">
        <v>3</v>
      </c>
      <c r="D507" s="4">
        <v>0</v>
      </c>
      <c r="E507" s="4">
        <v>0</v>
      </c>
      <c r="F507" s="4">
        <v>0</v>
      </c>
      <c r="G507" s="4">
        <v>0</v>
      </c>
      <c r="H507" s="4">
        <v>0</v>
      </c>
      <c r="I507" s="4" t="s">
        <v>1</v>
      </c>
      <c r="K5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0.45771154836940708</v>
      </c>
    </row>
    <row r="508" spans="1:11" x14ac:dyDescent="0.3">
      <c r="A508" s="4">
        <v>31</v>
      </c>
      <c r="B508" s="4">
        <v>1250000</v>
      </c>
      <c r="C508" s="4">
        <v>3</v>
      </c>
      <c r="D508" s="4">
        <v>0</v>
      </c>
      <c r="E508" s="4">
        <v>1</v>
      </c>
      <c r="F508" s="4">
        <v>0</v>
      </c>
      <c r="G508" s="4">
        <v>0</v>
      </c>
      <c r="H508" s="4">
        <v>0</v>
      </c>
      <c r="I508" s="4" t="s">
        <v>1</v>
      </c>
      <c r="K5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0.32068599742257914</v>
      </c>
    </row>
    <row r="509" spans="1:11" x14ac:dyDescent="0.3">
      <c r="A509" s="4">
        <v>25</v>
      </c>
      <c r="B509" s="4">
        <v>1150000</v>
      </c>
      <c r="C509" s="4">
        <v>5</v>
      </c>
      <c r="D509" s="4">
        <v>0</v>
      </c>
      <c r="E509" s="4">
        <v>0</v>
      </c>
      <c r="F509" s="4">
        <v>1</v>
      </c>
      <c r="G509" s="4">
        <v>0</v>
      </c>
      <c r="H509" s="4">
        <v>0</v>
      </c>
      <c r="I509" s="4" t="s">
        <v>1</v>
      </c>
      <c r="K5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0.33853586138968828</v>
      </c>
    </row>
    <row r="510" spans="1:11" x14ac:dyDescent="0.3">
      <c r="A510" s="4">
        <v>33</v>
      </c>
      <c r="B510" s="4">
        <v>1100000</v>
      </c>
      <c r="C510" s="4">
        <v>3</v>
      </c>
      <c r="D510" s="4">
        <v>1</v>
      </c>
      <c r="E510" s="4">
        <v>1</v>
      </c>
      <c r="F510" s="4">
        <v>0</v>
      </c>
      <c r="G510" s="4">
        <v>0</v>
      </c>
      <c r="H510" s="4">
        <v>0</v>
      </c>
      <c r="I510" s="4" t="s">
        <v>1</v>
      </c>
      <c r="K5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0.2812005060749363</v>
      </c>
    </row>
    <row r="511" spans="1:11" x14ac:dyDescent="0.3">
      <c r="A511" s="4">
        <v>34</v>
      </c>
      <c r="B511" s="4">
        <v>950000</v>
      </c>
      <c r="C511" s="4">
        <v>3</v>
      </c>
      <c r="D511" s="4">
        <v>0</v>
      </c>
      <c r="E511" s="4">
        <v>0</v>
      </c>
      <c r="F511" s="4">
        <v>0</v>
      </c>
      <c r="G511" s="4">
        <v>0</v>
      </c>
      <c r="H511" s="4">
        <v>0</v>
      </c>
      <c r="I511" s="4" t="s">
        <v>1</v>
      </c>
      <c r="K5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0.35056967320198523</v>
      </c>
    </row>
    <row r="512" spans="1:11" x14ac:dyDescent="0.3">
      <c r="A512" s="4">
        <v>31</v>
      </c>
      <c r="B512" s="4">
        <v>1350000</v>
      </c>
      <c r="C512" s="4">
        <v>3</v>
      </c>
      <c r="D512" s="4">
        <v>0</v>
      </c>
      <c r="E512" s="4">
        <v>1</v>
      </c>
      <c r="F512" s="4">
        <v>0</v>
      </c>
      <c r="G512" s="4">
        <v>0</v>
      </c>
      <c r="H512" s="4">
        <v>1</v>
      </c>
      <c r="I512" s="4" t="s">
        <v>1</v>
      </c>
      <c r="K5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0.70168971298433802</v>
      </c>
    </row>
    <row r="513" spans="1:11" x14ac:dyDescent="0.3">
      <c r="A513" s="4">
        <v>31</v>
      </c>
      <c r="B513" s="4">
        <v>900000</v>
      </c>
      <c r="C513" s="4">
        <v>3</v>
      </c>
      <c r="D513" s="4">
        <v>0</v>
      </c>
      <c r="E513" s="4">
        <v>1</v>
      </c>
      <c r="F513" s="4">
        <v>0</v>
      </c>
      <c r="G513" s="4">
        <v>0</v>
      </c>
      <c r="H513" s="4">
        <v>0</v>
      </c>
      <c r="I513" s="4" t="s">
        <v>1</v>
      </c>
      <c r="K5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0.21354412225515729</v>
      </c>
    </row>
    <row r="514" spans="1:11" x14ac:dyDescent="0.3">
      <c r="A514" s="4">
        <v>28</v>
      </c>
      <c r="B514" s="4">
        <v>300000</v>
      </c>
      <c r="C514" s="4">
        <v>2</v>
      </c>
      <c r="D514" s="4">
        <v>1</v>
      </c>
      <c r="E514" s="4">
        <v>1</v>
      </c>
      <c r="F514" s="4">
        <v>0</v>
      </c>
      <c r="G514" s="4">
        <v>0</v>
      </c>
      <c r="H514" s="4">
        <v>0</v>
      </c>
      <c r="I514" s="4" t="s">
        <v>1</v>
      </c>
      <c r="K5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-4.9092083105877468E-2</v>
      </c>
    </row>
    <row r="515" spans="1:11" x14ac:dyDescent="0.3">
      <c r="A515" s="4">
        <v>25</v>
      </c>
      <c r="B515" s="4">
        <v>1700000</v>
      </c>
      <c r="C515" s="4">
        <v>5</v>
      </c>
      <c r="D515" s="4">
        <v>0</v>
      </c>
      <c r="E515" s="4">
        <v>1</v>
      </c>
      <c r="F515" s="4">
        <v>1</v>
      </c>
      <c r="G515" s="4">
        <v>1</v>
      </c>
      <c r="H515" s="4">
        <v>0</v>
      </c>
      <c r="I515" s="4" t="s">
        <v>1</v>
      </c>
      <c r="K5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0.51724772494528282</v>
      </c>
    </row>
    <row r="516" spans="1:11" x14ac:dyDescent="0.3">
      <c r="A516" s="4">
        <v>33</v>
      </c>
      <c r="B516" s="4">
        <v>400000</v>
      </c>
      <c r="C516" s="4">
        <v>4</v>
      </c>
      <c r="D516" s="4">
        <v>1</v>
      </c>
      <c r="E516" s="4">
        <v>1</v>
      </c>
      <c r="F516" s="4">
        <v>0</v>
      </c>
      <c r="G516" s="4">
        <v>0</v>
      </c>
      <c r="H516" s="4">
        <v>0</v>
      </c>
      <c r="I516" s="4" t="s">
        <v>1</v>
      </c>
      <c r="K5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8.4182448100182897E-2</v>
      </c>
    </row>
    <row r="517" spans="1:11" x14ac:dyDescent="0.3">
      <c r="A517" s="4">
        <v>28</v>
      </c>
      <c r="B517" s="4">
        <v>1200000</v>
      </c>
      <c r="C517" s="4">
        <v>7</v>
      </c>
      <c r="D517" s="4">
        <v>1</v>
      </c>
      <c r="E517" s="4">
        <v>1</v>
      </c>
      <c r="F517" s="4">
        <v>1</v>
      </c>
      <c r="G517" s="4">
        <v>0</v>
      </c>
      <c r="H517" s="4">
        <v>0</v>
      </c>
      <c r="I517" s="4" t="s">
        <v>1</v>
      </c>
      <c r="K5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0.32759106037113539</v>
      </c>
    </row>
    <row r="518" spans="1:11" x14ac:dyDescent="0.3">
      <c r="A518" s="4">
        <v>26</v>
      </c>
      <c r="B518" s="4">
        <v>1400000</v>
      </c>
      <c r="C518" s="4">
        <v>4</v>
      </c>
      <c r="D518" s="4">
        <v>0</v>
      </c>
      <c r="E518" s="4">
        <v>1</v>
      </c>
      <c r="F518" s="4">
        <v>1</v>
      </c>
      <c r="G518" s="4">
        <v>0</v>
      </c>
      <c r="H518" s="4">
        <v>1</v>
      </c>
      <c r="I518" s="4" t="s">
        <v>1</v>
      </c>
      <c r="K5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0.68097720803349182</v>
      </c>
    </row>
    <row r="519" spans="1:11" x14ac:dyDescent="0.3">
      <c r="A519" s="4">
        <v>28</v>
      </c>
      <c r="B519" s="4">
        <v>650000</v>
      </c>
      <c r="C519" s="4">
        <v>5</v>
      </c>
      <c r="D519" s="4">
        <v>0</v>
      </c>
      <c r="E519" s="4">
        <v>1</v>
      </c>
      <c r="F519" s="4">
        <v>0</v>
      </c>
      <c r="G519" s="4">
        <v>1</v>
      </c>
      <c r="H519" s="4">
        <v>0</v>
      </c>
      <c r="I519" s="4" t="s">
        <v>1</v>
      </c>
      <c r="K5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0.22185380605979632</v>
      </c>
    </row>
    <row r="520" spans="1:11" x14ac:dyDescent="0.3">
      <c r="A520" s="4">
        <v>31</v>
      </c>
      <c r="B520" s="4">
        <v>1400000</v>
      </c>
      <c r="C520" s="4">
        <v>4</v>
      </c>
      <c r="D520" s="4">
        <v>0</v>
      </c>
      <c r="E520" s="4">
        <v>1</v>
      </c>
      <c r="F520" s="4">
        <v>0</v>
      </c>
      <c r="G520" s="4">
        <v>0</v>
      </c>
      <c r="H520" s="4">
        <v>1</v>
      </c>
      <c r="I520" s="4" t="s">
        <v>1</v>
      </c>
      <c r="K5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0.73426138751120296</v>
      </c>
    </row>
    <row r="521" spans="1:11" x14ac:dyDescent="0.3">
      <c r="A521" s="4">
        <v>28</v>
      </c>
      <c r="B521" s="4">
        <v>1150000</v>
      </c>
      <c r="C521" s="4">
        <v>6</v>
      </c>
      <c r="D521" s="4">
        <v>0</v>
      </c>
      <c r="E521" s="4">
        <v>1</v>
      </c>
      <c r="F521" s="4">
        <v>1</v>
      </c>
      <c r="G521" s="4">
        <v>0</v>
      </c>
      <c r="H521" s="4">
        <v>0</v>
      </c>
      <c r="I521" s="4" t="s">
        <v>1</v>
      </c>
      <c r="K5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0.31583940355252199</v>
      </c>
    </row>
    <row r="522" spans="1:11" x14ac:dyDescent="0.3">
      <c r="A522" s="4">
        <v>28</v>
      </c>
      <c r="B522" s="4">
        <v>800000</v>
      </c>
      <c r="C522" s="4">
        <v>3</v>
      </c>
      <c r="D522" s="4">
        <v>0</v>
      </c>
      <c r="E522" s="4">
        <v>1</v>
      </c>
      <c r="F522" s="4">
        <v>1</v>
      </c>
      <c r="G522" s="4">
        <v>0</v>
      </c>
      <c r="H522" s="4">
        <v>0</v>
      </c>
      <c r="I522" s="4" t="s">
        <v>1</v>
      </c>
      <c r="K5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0.15690045130482924</v>
      </c>
    </row>
    <row r="523" spans="1:11" x14ac:dyDescent="0.3">
      <c r="A523" s="4">
        <v>33</v>
      </c>
      <c r="B523" s="4">
        <v>700000</v>
      </c>
      <c r="C523" s="4">
        <v>3</v>
      </c>
      <c r="D523" s="4">
        <v>1</v>
      </c>
      <c r="E523" s="4">
        <v>1</v>
      </c>
      <c r="F523" s="4">
        <v>0</v>
      </c>
      <c r="G523" s="4">
        <v>0</v>
      </c>
      <c r="H523" s="4">
        <v>0</v>
      </c>
      <c r="I523" s="4" t="s">
        <v>1</v>
      </c>
      <c r="K5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0.15875264874073991</v>
      </c>
    </row>
    <row r="524" spans="1:11" x14ac:dyDescent="0.3">
      <c r="A524" s="4">
        <v>29</v>
      </c>
      <c r="B524" s="4">
        <v>1200000</v>
      </c>
      <c r="C524" s="4">
        <v>3</v>
      </c>
      <c r="D524" s="4">
        <v>0</v>
      </c>
      <c r="E524" s="4">
        <v>1</v>
      </c>
      <c r="F524" s="4">
        <v>0</v>
      </c>
      <c r="G524" s="4">
        <v>0</v>
      </c>
      <c r="H524" s="4">
        <v>0</v>
      </c>
      <c r="I524" s="4" t="s">
        <v>1</v>
      </c>
      <c r="K5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0.27812754239487225</v>
      </c>
    </row>
    <row r="525" spans="1:11" x14ac:dyDescent="0.3">
      <c r="A525" s="4">
        <v>26</v>
      </c>
      <c r="B525" s="4">
        <v>450000</v>
      </c>
      <c r="C525" s="4">
        <v>6</v>
      </c>
      <c r="D525" s="4">
        <v>0</v>
      </c>
      <c r="E525" s="4">
        <v>1</v>
      </c>
      <c r="F525" s="4">
        <v>0</v>
      </c>
      <c r="G525" s="4">
        <v>0</v>
      </c>
      <c r="H525" s="4">
        <v>0</v>
      </c>
      <c r="I525" s="4" t="s">
        <v>1</v>
      </c>
      <c r="K5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5.945617768212659E-2</v>
      </c>
    </row>
    <row r="526" spans="1:11" x14ac:dyDescent="0.3">
      <c r="A526" s="4">
        <v>31</v>
      </c>
      <c r="B526" s="4">
        <v>1200000</v>
      </c>
      <c r="C526" s="4">
        <v>9</v>
      </c>
      <c r="D526" s="4">
        <v>1</v>
      </c>
      <c r="E526" s="4">
        <v>1</v>
      </c>
      <c r="F526" s="4">
        <v>0</v>
      </c>
      <c r="G526" s="4">
        <v>0</v>
      </c>
      <c r="H526" s="4">
        <v>0</v>
      </c>
      <c r="I526" s="4" t="s">
        <v>1</v>
      </c>
      <c r="K5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0.38815415170809492</v>
      </c>
    </row>
    <row r="527" spans="1:11" x14ac:dyDescent="0.3">
      <c r="A527" s="4">
        <v>34</v>
      </c>
      <c r="B527" s="4">
        <v>1500000</v>
      </c>
      <c r="C527" s="4">
        <v>5</v>
      </c>
      <c r="D527" s="4">
        <v>0</v>
      </c>
      <c r="E527" s="4">
        <v>1</v>
      </c>
      <c r="F527" s="4">
        <v>1</v>
      </c>
      <c r="G527" s="4">
        <v>1</v>
      </c>
      <c r="H527" s="4">
        <v>1</v>
      </c>
      <c r="I527" s="4" t="s">
        <v>1</v>
      </c>
      <c r="K5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0.92905167538058975</v>
      </c>
    </row>
    <row r="528" spans="1:11" x14ac:dyDescent="0.3">
      <c r="A528" s="4">
        <v>30</v>
      </c>
      <c r="B528" s="4">
        <v>800000</v>
      </c>
      <c r="C528" s="4">
        <v>5</v>
      </c>
      <c r="D528" s="4">
        <v>0</v>
      </c>
      <c r="E528" s="4">
        <v>0</v>
      </c>
      <c r="F528" s="4">
        <v>0</v>
      </c>
      <c r="G528" s="4">
        <v>0</v>
      </c>
      <c r="H528" s="4">
        <v>0</v>
      </c>
      <c r="I528" s="4" t="s">
        <v>1</v>
      </c>
      <c r="K5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0.28467816569997773</v>
      </c>
    </row>
    <row r="529" spans="1:11" x14ac:dyDescent="0.3">
      <c r="A529" s="4">
        <v>25</v>
      </c>
      <c r="B529" s="4">
        <v>1700000</v>
      </c>
      <c r="C529" s="4">
        <v>4</v>
      </c>
      <c r="D529" s="4">
        <v>0</v>
      </c>
      <c r="E529" s="4">
        <v>1</v>
      </c>
      <c r="F529" s="4">
        <v>0</v>
      </c>
      <c r="G529" s="4">
        <v>1</v>
      </c>
      <c r="H529" s="4">
        <v>0</v>
      </c>
      <c r="I529" s="4" t="s">
        <v>1</v>
      </c>
      <c r="K5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0.48513502991057317</v>
      </c>
    </row>
    <row r="530" spans="1:11" x14ac:dyDescent="0.3">
      <c r="A530" s="4">
        <v>34</v>
      </c>
      <c r="B530" s="4">
        <v>1300000</v>
      </c>
      <c r="C530" s="4">
        <v>5</v>
      </c>
      <c r="D530" s="4">
        <v>0</v>
      </c>
      <c r="E530" s="4">
        <v>0</v>
      </c>
      <c r="F530" s="4">
        <v>0</v>
      </c>
      <c r="G530" s="4">
        <v>0</v>
      </c>
      <c r="H530" s="4">
        <v>0</v>
      </c>
      <c r="I530" s="4" t="s">
        <v>1</v>
      </c>
      <c r="K5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0.49224293308958766</v>
      </c>
    </row>
    <row r="531" spans="1:11" x14ac:dyDescent="0.3">
      <c r="A531" s="4">
        <v>25</v>
      </c>
      <c r="B531" s="4">
        <v>750000</v>
      </c>
      <c r="C531" s="4">
        <v>2</v>
      </c>
      <c r="D531" s="4">
        <v>1</v>
      </c>
      <c r="E531" s="4">
        <v>1</v>
      </c>
      <c r="F531" s="4">
        <v>0</v>
      </c>
      <c r="G531" s="4">
        <v>0</v>
      </c>
      <c r="H531" s="4">
        <v>1</v>
      </c>
      <c r="I531" s="4" t="s">
        <v>1</v>
      </c>
      <c r="K5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0.39817479833190494</v>
      </c>
    </row>
    <row r="532" spans="1:11" x14ac:dyDescent="0.3">
      <c r="A532" s="4">
        <v>31</v>
      </c>
      <c r="B532" s="4">
        <v>1200000</v>
      </c>
      <c r="C532" s="4">
        <v>2</v>
      </c>
      <c r="D532" s="4">
        <v>1</v>
      </c>
      <c r="E532" s="4">
        <v>1</v>
      </c>
      <c r="F532" s="4">
        <v>1</v>
      </c>
      <c r="G532" s="4">
        <v>0</v>
      </c>
      <c r="H532" s="4">
        <v>0</v>
      </c>
      <c r="I532" s="4" t="s">
        <v>1</v>
      </c>
      <c r="K5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0.2821413078620823</v>
      </c>
    </row>
    <row r="533" spans="1:11" x14ac:dyDescent="0.3">
      <c r="A533" s="4">
        <v>25</v>
      </c>
      <c r="B533" s="4">
        <v>1700000</v>
      </c>
      <c r="C533" s="4">
        <v>5</v>
      </c>
      <c r="D533" s="4">
        <v>0</v>
      </c>
      <c r="E533" s="4">
        <v>1</v>
      </c>
      <c r="F533" s="4">
        <v>0</v>
      </c>
      <c r="G533" s="4">
        <v>1</v>
      </c>
      <c r="H533" s="4">
        <v>0</v>
      </c>
      <c r="I533" s="4" t="s">
        <v>1</v>
      </c>
      <c r="K5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0.50240072227066335</v>
      </c>
    </row>
    <row r="534" spans="1:11" x14ac:dyDescent="0.3">
      <c r="A534" s="4">
        <v>27</v>
      </c>
      <c r="B534" s="4">
        <v>800000</v>
      </c>
      <c r="C534" s="4">
        <v>6</v>
      </c>
      <c r="D534" s="4">
        <v>0</v>
      </c>
      <c r="E534" s="4">
        <v>0</v>
      </c>
      <c r="F534" s="4">
        <v>0</v>
      </c>
      <c r="G534" s="4">
        <v>0</v>
      </c>
      <c r="H534" s="4">
        <v>0</v>
      </c>
      <c r="I534" s="4" t="s">
        <v>1</v>
      </c>
      <c r="K5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0.2610651487686696</v>
      </c>
    </row>
    <row r="535" spans="1:11" x14ac:dyDescent="0.3">
      <c r="A535" s="4">
        <v>31</v>
      </c>
      <c r="B535" s="4">
        <v>400000</v>
      </c>
      <c r="C535" s="4">
        <v>7</v>
      </c>
      <c r="D535" s="4">
        <v>1</v>
      </c>
      <c r="E535" s="4">
        <v>1</v>
      </c>
      <c r="F535" s="4">
        <v>0</v>
      </c>
      <c r="G535" s="4">
        <v>0</v>
      </c>
      <c r="H535" s="4">
        <v>0</v>
      </c>
      <c r="I535" s="4" t="s">
        <v>1</v>
      </c>
      <c r="K5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0.10872705231952155</v>
      </c>
    </row>
    <row r="536" spans="1:11" x14ac:dyDescent="0.3">
      <c r="A536" s="4">
        <v>28</v>
      </c>
      <c r="B536" s="4">
        <v>1150000</v>
      </c>
      <c r="C536" s="4">
        <v>7</v>
      </c>
      <c r="D536" s="4">
        <v>0</v>
      </c>
      <c r="E536" s="4">
        <v>1</v>
      </c>
      <c r="F536" s="4">
        <v>0</v>
      </c>
      <c r="G536" s="4">
        <v>0</v>
      </c>
      <c r="H536" s="4">
        <v>0</v>
      </c>
      <c r="I536" s="4" t="s">
        <v>1</v>
      </c>
      <c r="K5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0.31825809323799281</v>
      </c>
    </row>
    <row r="537" spans="1:11" x14ac:dyDescent="0.3">
      <c r="A537" s="4">
        <v>34</v>
      </c>
      <c r="B537" s="4">
        <v>700000</v>
      </c>
      <c r="C537" s="4">
        <v>6</v>
      </c>
      <c r="D537" s="4">
        <v>0</v>
      </c>
      <c r="E537" s="4">
        <v>1</v>
      </c>
      <c r="F537" s="4">
        <v>0</v>
      </c>
      <c r="G537" s="4">
        <v>1</v>
      </c>
      <c r="H537" s="4">
        <v>0</v>
      </c>
      <c r="I537" s="4" t="s">
        <v>1</v>
      </c>
      <c r="K5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0.33618289916945793</v>
      </c>
    </row>
    <row r="538" spans="1:11" x14ac:dyDescent="0.3">
      <c r="A538" s="4">
        <v>28</v>
      </c>
      <c r="B538" s="4">
        <v>1100000</v>
      </c>
      <c r="C538" s="4">
        <v>5</v>
      </c>
      <c r="D538" s="4">
        <v>0</v>
      </c>
      <c r="E538" s="4">
        <v>1</v>
      </c>
      <c r="F538" s="4">
        <v>0</v>
      </c>
      <c r="G538" s="4">
        <v>0</v>
      </c>
      <c r="H538" s="4">
        <v>0</v>
      </c>
      <c r="I538" s="4" t="s">
        <v>1</v>
      </c>
      <c r="K5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0.26842072635103764</v>
      </c>
    </row>
    <row r="539" spans="1:11" x14ac:dyDescent="0.3">
      <c r="A539" s="4">
        <v>28</v>
      </c>
      <c r="B539" s="4">
        <v>300000</v>
      </c>
      <c r="C539" s="4">
        <v>2</v>
      </c>
      <c r="D539" s="4">
        <v>1</v>
      </c>
      <c r="E539" s="4">
        <v>1</v>
      </c>
      <c r="F539" s="4">
        <v>0</v>
      </c>
      <c r="G539" s="4">
        <v>0</v>
      </c>
      <c r="H539" s="4">
        <v>0</v>
      </c>
      <c r="I539" s="4" t="s">
        <v>1</v>
      </c>
      <c r="K5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-4.9092083105877468E-2</v>
      </c>
    </row>
    <row r="540" spans="1:11" x14ac:dyDescent="0.3">
      <c r="A540" s="4">
        <v>29</v>
      </c>
      <c r="B540" s="4">
        <v>1350000</v>
      </c>
      <c r="C540" s="4">
        <v>3</v>
      </c>
      <c r="D540" s="4">
        <v>0</v>
      </c>
      <c r="E540" s="4">
        <v>1</v>
      </c>
      <c r="F540" s="4">
        <v>1</v>
      </c>
      <c r="G540" s="4">
        <v>1</v>
      </c>
      <c r="H540" s="4">
        <v>1</v>
      </c>
      <c r="I540" s="4" t="s">
        <v>1</v>
      </c>
      <c r="K5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0.7804711620077549</v>
      </c>
    </row>
    <row r="541" spans="1:11" x14ac:dyDescent="0.3">
      <c r="A541" s="4">
        <v>33</v>
      </c>
      <c r="B541" s="4">
        <v>550000</v>
      </c>
      <c r="C541" s="4">
        <v>5</v>
      </c>
      <c r="D541" s="4">
        <v>0</v>
      </c>
      <c r="E541" s="4">
        <v>1</v>
      </c>
      <c r="F541" s="4">
        <v>1</v>
      </c>
      <c r="G541" s="4">
        <v>0</v>
      </c>
      <c r="H541" s="4">
        <v>0</v>
      </c>
      <c r="I541" s="4" t="s">
        <v>1</v>
      </c>
      <c r="K5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0.1830331073434677</v>
      </c>
    </row>
    <row r="542" spans="1:11" x14ac:dyDescent="0.3">
      <c r="A542" s="4">
        <v>33</v>
      </c>
      <c r="B542" s="4">
        <v>1400000</v>
      </c>
      <c r="C542" s="4">
        <v>7</v>
      </c>
      <c r="D542" s="4">
        <v>0</v>
      </c>
      <c r="E542" s="4">
        <v>1</v>
      </c>
      <c r="F542" s="4">
        <v>0</v>
      </c>
      <c r="G542" s="4">
        <v>0</v>
      </c>
      <c r="H542" s="4">
        <v>1</v>
      </c>
      <c r="I542" s="4" t="s">
        <v>1</v>
      </c>
      <c r="K5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0.81331093745240612</v>
      </c>
    </row>
    <row r="543" spans="1:11" x14ac:dyDescent="0.3">
      <c r="A543" s="4">
        <v>31</v>
      </c>
      <c r="B543" s="4">
        <v>350000</v>
      </c>
      <c r="C543" s="4">
        <v>3</v>
      </c>
      <c r="D543" s="4">
        <v>1</v>
      </c>
      <c r="E543" s="4">
        <v>0</v>
      </c>
      <c r="F543" s="4">
        <v>1</v>
      </c>
      <c r="G543" s="4">
        <v>0</v>
      </c>
      <c r="H543" s="4">
        <v>0</v>
      </c>
      <c r="I543" s="4" t="s">
        <v>1</v>
      </c>
      <c r="K5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0.12004616287566029</v>
      </c>
    </row>
    <row r="544" spans="1:11" x14ac:dyDescent="0.3">
      <c r="A544" s="4">
        <v>34</v>
      </c>
      <c r="B544" s="4">
        <v>1500000</v>
      </c>
      <c r="C544" s="4">
        <v>5</v>
      </c>
      <c r="D544" s="4">
        <v>0</v>
      </c>
      <c r="E544" s="4">
        <v>1</v>
      </c>
      <c r="F544" s="4">
        <v>0</v>
      </c>
      <c r="G544" s="4">
        <v>1</v>
      </c>
      <c r="H544" s="4">
        <v>1</v>
      </c>
      <c r="I544" s="4" t="s">
        <v>1</v>
      </c>
      <c r="K5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0.91420467270597028</v>
      </c>
    </row>
    <row r="545" spans="1:11" x14ac:dyDescent="0.3">
      <c r="A545" s="4">
        <v>29</v>
      </c>
      <c r="B545" s="4">
        <v>1050000</v>
      </c>
      <c r="C545" s="4">
        <v>7</v>
      </c>
      <c r="D545" s="4">
        <v>0</v>
      </c>
      <c r="E545" s="4">
        <v>1</v>
      </c>
      <c r="F545" s="4">
        <v>0</v>
      </c>
      <c r="G545" s="4">
        <v>0</v>
      </c>
      <c r="H545" s="4">
        <v>0</v>
      </c>
      <c r="I545" s="4" t="s">
        <v>1</v>
      </c>
      <c r="K5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0.30127236533490981</v>
      </c>
    </row>
    <row r="546" spans="1:11" x14ac:dyDescent="0.3">
      <c r="A546" s="4">
        <v>31</v>
      </c>
      <c r="B546" s="4">
        <v>400000</v>
      </c>
      <c r="C546" s="4">
        <v>4</v>
      </c>
      <c r="D546" s="4">
        <v>1</v>
      </c>
      <c r="E546" s="4">
        <v>0</v>
      </c>
      <c r="F546" s="4">
        <v>1</v>
      </c>
      <c r="G546" s="4">
        <v>0</v>
      </c>
      <c r="H546" s="4">
        <v>0</v>
      </c>
      <c r="I546" s="4" t="s">
        <v>1</v>
      </c>
      <c r="K5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0.15261783740252513</v>
      </c>
    </row>
    <row r="547" spans="1:11" x14ac:dyDescent="0.3">
      <c r="A547" s="4">
        <v>33</v>
      </c>
      <c r="B547" s="4">
        <v>400000</v>
      </c>
      <c r="C547" s="4">
        <v>9</v>
      </c>
      <c r="D547" s="4">
        <v>1</v>
      </c>
      <c r="E547" s="4">
        <v>1</v>
      </c>
      <c r="F547" s="4">
        <v>0</v>
      </c>
      <c r="G547" s="4">
        <v>0</v>
      </c>
      <c r="H547" s="4">
        <v>0</v>
      </c>
      <c r="I547" s="4" t="s">
        <v>1</v>
      </c>
      <c r="K5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0.17051090990063439</v>
      </c>
    </row>
    <row r="548" spans="1:11" x14ac:dyDescent="0.3">
      <c r="A548" s="4">
        <v>31</v>
      </c>
      <c r="B548" s="4">
        <v>1500000</v>
      </c>
      <c r="C548" s="4">
        <v>6</v>
      </c>
      <c r="D548" s="4">
        <v>1</v>
      </c>
      <c r="E548" s="4">
        <v>1</v>
      </c>
      <c r="F548" s="4">
        <v>0</v>
      </c>
      <c r="G548" s="4">
        <v>1</v>
      </c>
      <c r="H548" s="4">
        <v>1</v>
      </c>
      <c r="I548" s="4" t="s">
        <v>1</v>
      </c>
      <c r="K5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0.86977163806641078</v>
      </c>
    </row>
    <row r="549" spans="1:11" x14ac:dyDescent="0.3">
      <c r="A549" s="4">
        <v>34</v>
      </c>
      <c r="B549" s="4">
        <v>1500000</v>
      </c>
      <c r="C549" s="4">
        <v>4</v>
      </c>
      <c r="D549" s="4">
        <v>0</v>
      </c>
      <c r="E549" s="4">
        <v>1</v>
      </c>
      <c r="F549" s="4">
        <v>1</v>
      </c>
      <c r="G549" s="4">
        <v>1</v>
      </c>
      <c r="H549" s="4">
        <v>1</v>
      </c>
      <c r="I549" s="4" t="s">
        <v>1</v>
      </c>
      <c r="K5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0.9117859830204994</v>
      </c>
    </row>
    <row r="550" spans="1:11" x14ac:dyDescent="0.3">
      <c r="A550" s="4">
        <v>31</v>
      </c>
      <c r="B550" s="4">
        <v>350000</v>
      </c>
      <c r="C550" s="4">
        <v>4</v>
      </c>
      <c r="D550" s="4">
        <v>1</v>
      </c>
      <c r="E550" s="4">
        <v>0</v>
      </c>
      <c r="F550" s="4">
        <v>1</v>
      </c>
      <c r="G550" s="4">
        <v>0</v>
      </c>
      <c r="H550" s="4">
        <v>0</v>
      </c>
      <c r="I550" s="4" t="s">
        <v>1</v>
      </c>
      <c r="K5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0.1373118552357506</v>
      </c>
    </row>
    <row r="551" spans="1:11" x14ac:dyDescent="0.3">
      <c r="A551" s="4">
        <v>27</v>
      </c>
      <c r="B551" s="4">
        <v>1050000</v>
      </c>
      <c r="C551" s="4">
        <v>5</v>
      </c>
      <c r="D551" s="4">
        <v>1</v>
      </c>
      <c r="E551" s="4">
        <v>1</v>
      </c>
      <c r="F551" s="4">
        <v>1</v>
      </c>
      <c r="G551" s="4">
        <v>0</v>
      </c>
      <c r="H551" s="4">
        <v>0</v>
      </c>
      <c r="I551" s="4" t="s">
        <v>1</v>
      </c>
      <c r="K5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0.23351549272016495</v>
      </c>
    </row>
    <row r="552" spans="1:11" x14ac:dyDescent="0.3">
      <c r="A552" s="4">
        <v>34</v>
      </c>
      <c r="B552" s="4">
        <v>1300000</v>
      </c>
      <c r="C552" s="4">
        <v>4</v>
      </c>
      <c r="D552" s="4">
        <v>1</v>
      </c>
      <c r="E552" s="4">
        <v>1</v>
      </c>
      <c r="F552" s="4">
        <v>0</v>
      </c>
      <c r="G552" s="4">
        <v>0</v>
      </c>
      <c r="H552" s="4">
        <v>0</v>
      </c>
      <c r="I552" s="4" t="s">
        <v>1</v>
      </c>
      <c r="K5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0.37331636353259096</v>
      </c>
    </row>
    <row r="553" spans="1:11" x14ac:dyDescent="0.3">
      <c r="A553" s="4">
        <v>28</v>
      </c>
      <c r="B553" s="4">
        <v>1200000</v>
      </c>
      <c r="C553" s="4">
        <v>3</v>
      </c>
      <c r="D553" s="4">
        <v>1</v>
      </c>
      <c r="E553" s="4">
        <v>1</v>
      </c>
      <c r="F553" s="4">
        <v>0</v>
      </c>
      <c r="G553" s="4">
        <v>0</v>
      </c>
      <c r="H553" s="4">
        <v>0</v>
      </c>
      <c r="I553" s="4" t="s">
        <v>1</v>
      </c>
      <c r="K5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0.2436812882561547</v>
      </c>
    </row>
    <row r="554" spans="1:11" x14ac:dyDescent="0.3">
      <c r="A554" s="4">
        <v>28</v>
      </c>
      <c r="B554" s="4">
        <v>600000</v>
      </c>
      <c r="C554" s="4">
        <v>3</v>
      </c>
      <c r="D554" s="4">
        <v>1</v>
      </c>
      <c r="E554" s="4">
        <v>1</v>
      </c>
      <c r="F554" s="4">
        <v>0</v>
      </c>
      <c r="G554" s="4">
        <v>0</v>
      </c>
      <c r="H554" s="4">
        <v>0</v>
      </c>
      <c r="I554" s="4" t="s">
        <v>1</v>
      </c>
      <c r="K5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6.0009502254860139E-2</v>
      </c>
    </row>
    <row r="555" spans="1:11" x14ac:dyDescent="0.3">
      <c r="A555" s="4">
        <v>31</v>
      </c>
      <c r="B555" s="4">
        <v>900000</v>
      </c>
      <c r="C555" s="4">
        <v>7</v>
      </c>
      <c r="D555" s="4">
        <v>0</v>
      </c>
      <c r="E555" s="4">
        <v>1</v>
      </c>
      <c r="F555" s="4">
        <v>0</v>
      </c>
      <c r="G555" s="4">
        <v>0</v>
      </c>
      <c r="H555" s="4">
        <v>1</v>
      </c>
      <c r="I555" s="4" t="s">
        <v>1</v>
      </c>
      <c r="K5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0.63299864292372843</v>
      </c>
    </row>
    <row r="556" spans="1:11" x14ac:dyDescent="0.3">
      <c r="A556" s="4">
        <v>34</v>
      </c>
      <c r="B556" s="4">
        <v>700000</v>
      </c>
      <c r="C556" s="4">
        <v>6</v>
      </c>
      <c r="D556" s="4">
        <v>0</v>
      </c>
      <c r="E556" s="4">
        <v>1</v>
      </c>
      <c r="F556" s="4">
        <v>0</v>
      </c>
      <c r="G556" s="4">
        <v>0</v>
      </c>
      <c r="H556" s="4">
        <v>0</v>
      </c>
      <c r="I556" s="4" t="s">
        <v>1</v>
      </c>
      <c r="K5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0.24499597995972833</v>
      </c>
    </row>
    <row r="557" spans="1:11" x14ac:dyDescent="0.3">
      <c r="A557" s="4">
        <v>34</v>
      </c>
      <c r="B557" s="4">
        <v>1500000</v>
      </c>
      <c r="C557" s="4">
        <v>6</v>
      </c>
      <c r="D557" s="4">
        <v>0</v>
      </c>
      <c r="E557" s="4">
        <v>1</v>
      </c>
      <c r="F557" s="4">
        <v>1</v>
      </c>
      <c r="G557" s="4">
        <v>1</v>
      </c>
      <c r="H557" s="4">
        <v>1</v>
      </c>
      <c r="I557" s="4" t="s">
        <v>1</v>
      </c>
      <c r="K5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0.94631736774067998</v>
      </c>
    </row>
    <row r="558" spans="1:11" x14ac:dyDescent="0.3">
      <c r="A558" s="4">
        <v>28</v>
      </c>
      <c r="B558" s="4">
        <v>700000</v>
      </c>
      <c r="C558" s="4">
        <v>5</v>
      </c>
      <c r="D558" s="4">
        <v>0</v>
      </c>
      <c r="E558" s="4">
        <v>1</v>
      </c>
      <c r="F558" s="4">
        <v>0</v>
      </c>
      <c r="G558" s="4">
        <v>1</v>
      </c>
      <c r="H558" s="4">
        <v>0</v>
      </c>
      <c r="I558" s="4" t="s">
        <v>1</v>
      </c>
      <c r="K5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0.23715978822657086</v>
      </c>
    </row>
    <row r="559" spans="1:11" x14ac:dyDescent="0.3">
      <c r="A559" s="4">
        <v>33</v>
      </c>
      <c r="B559" s="4">
        <v>1100000</v>
      </c>
      <c r="C559" s="4">
        <v>8</v>
      </c>
      <c r="D559" s="4">
        <v>1</v>
      </c>
      <c r="E559" s="4">
        <v>1</v>
      </c>
      <c r="F559" s="4">
        <v>0</v>
      </c>
      <c r="G559" s="4">
        <v>0</v>
      </c>
      <c r="H559" s="4">
        <v>0</v>
      </c>
      <c r="I559" s="4" t="s">
        <v>1</v>
      </c>
      <c r="K5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0.3675289678753878</v>
      </c>
    </row>
    <row r="560" spans="1:11" x14ac:dyDescent="0.3">
      <c r="A560" s="4">
        <v>28</v>
      </c>
      <c r="B560" s="4">
        <v>700000</v>
      </c>
      <c r="C560" s="4">
        <v>3</v>
      </c>
      <c r="D560" s="4">
        <v>0</v>
      </c>
      <c r="E560" s="4">
        <v>1</v>
      </c>
      <c r="F560" s="4">
        <v>1</v>
      </c>
      <c r="G560" s="4">
        <v>0</v>
      </c>
      <c r="H560" s="4">
        <v>1</v>
      </c>
      <c r="I560" s="4" t="s">
        <v>1</v>
      </c>
      <c r="K5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0.47668023819949001</v>
      </c>
    </row>
    <row r="561" spans="1:11" x14ac:dyDescent="0.3">
      <c r="A561" s="4">
        <v>33</v>
      </c>
      <c r="B561" s="4">
        <v>700000</v>
      </c>
      <c r="C561" s="4">
        <v>6</v>
      </c>
      <c r="D561" s="4">
        <v>1</v>
      </c>
      <c r="E561" s="4">
        <v>1</v>
      </c>
      <c r="F561" s="4">
        <v>1</v>
      </c>
      <c r="G561" s="4">
        <v>0</v>
      </c>
      <c r="H561" s="4">
        <v>0</v>
      </c>
      <c r="I561" s="4" t="s">
        <v>1</v>
      </c>
      <c r="K5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0.22539672849563022</v>
      </c>
    </row>
    <row r="562" spans="1:11" x14ac:dyDescent="0.3">
      <c r="A562" s="4">
        <v>25</v>
      </c>
      <c r="B562" s="4">
        <v>1150000</v>
      </c>
      <c r="C562" s="4">
        <v>3</v>
      </c>
      <c r="D562" s="4">
        <v>0</v>
      </c>
      <c r="E562" s="4">
        <v>0</v>
      </c>
      <c r="F562" s="4">
        <v>1</v>
      </c>
      <c r="G562" s="4">
        <v>0</v>
      </c>
      <c r="H562" s="4">
        <v>1</v>
      </c>
      <c r="I562" s="4" t="s">
        <v>1</v>
      </c>
      <c r="K5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0.65439622789771756</v>
      </c>
    </row>
    <row r="563" spans="1:11" x14ac:dyDescent="0.3">
      <c r="A563" s="4">
        <v>26</v>
      </c>
      <c r="B563" s="4">
        <v>1400000</v>
      </c>
      <c r="C563" s="4">
        <v>3</v>
      </c>
      <c r="D563" s="4">
        <v>0</v>
      </c>
      <c r="E563" s="4">
        <v>1</v>
      </c>
      <c r="F563" s="4">
        <v>0</v>
      </c>
      <c r="G563" s="4">
        <v>0</v>
      </c>
      <c r="H563" s="4">
        <v>1</v>
      </c>
      <c r="I563" s="4" t="s">
        <v>1</v>
      </c>
      <c r="K5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0.64886451299878201</v>
      </c>
    </row>
    <row r="564" spans="1:11" x14ac:dyDescent="0.3">
      <c r="A564" s="4">
        <v>26</v>
      </c>
      <c r="B564" s="4">
        <v>1250000</v>
      </c>
      <c r="C564" s="4">
        <v>4</v>
      </c>
      <c r="D564" s="4">
        <v>0</v>
      </c>
      <c r="E564" s="4">
        <v>1</v>
      </c>
      <c r="F564" s="4">
        <v>0</v>
      </c>
      <c r="G564" s="4">
        <v>0</v>
      </c>
      <c r="H564" s="4">
        <v>0</v>
      </c>
      <c r="I564" s="4" t="s">
        <v>1</v>
      </c>
      <c r="K5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0.26982050763033882</v>
      </c>
    </row>
    <row r="565" spans="1:11" x14ac:dyDescent="0.3">
      <c r="A565" s="4">
        <v>26</v>
      </c>
      <c r="B565" s="4">
        <v>500000</v>
      </c>
      <c r="C565" s="4">
        <v>7</v>
      </c>
      <c r="D565" s="4">
        <v>0</v>
      </c>
      <c r="E565" s="4">
        <v>1</v>
      </c>
      <c r="F565" s="4">
        <v>0</v>
      </c>
      <c r="G565" s="4">
        <v>0</v>
      </c>
      <c r="H565" s="4">
        <v>0</v>
      </c>
      <c r="I565" s="4" t="s">
        <v>1</v>
      </c>
      <c r="K5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9.2027852208991415E-2</v>
      </c>
    </row>
    <row r="566" spans="1:11" x14ac:dyDescent="0.3">
      <c r="A566" s="4">
        <v>28</v>
      </c>
      <c r="B566" s="4">
        <v>1200000</v>
      </c>
      <c r="C566" s="4">
        <v>5</v>
      </c>
      <c r="D566" s="4">
        <v>0</v>
      </c>
      <c r="E566" s="4">
        <v>1</v>
      </c>
      <c r="F566" s="4">
        <v>0</v>
      </c>
      <c r="G566" s="4">
        <v>0</v>
      </c>
      <c r="H566" s="4">
        <v>0</v>
      </c>
      <c r="I566" s="4" t="s">
        <v>1</v>
      </c>
      <c r="K5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0.29903269068458671</v>
      </c>
    </row>
    <row r="567" spans="1:11" x14ac:dyDescent="0.3">
      <c r="A567" s="4">
        <v>28</v>
      </c>
      <c r="B567" s="4">
        <v>600000</v>
      </c>
      <c r="C567" s="4">
        <v>4</v>
      </c>
      <c r="D567" s="4">
        <v>1</v>
      </c>
      <c r="E567" s="4">
        <v>1</v>
      </c>
      <c r="F567" s="4">
        <v>0</v>
      </c>
      <c r="G567" s="4">
        <v>0</v>
      </c>
      <c r="H567" s="4">
        <v>0</v>
      </c>
      <c r="I567" s="4" t="s">
        <v>1</v>
      </c>
      <c r="K5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7.7275194614950429E-2</v>
      </c>
    </row>
    <row r="568" spans="1:11" x14ac:dyDescent="0.3">
      <c r="A568" s="4">
        <v>28</v>
      </c>
      <c r="B568" s="4">
        <v>800000</v>
      </c>
      <c r="C568" s="4">
        <v>7</v>
      </c>
      <c r="D568" s="4">
        <v>0</v>
      </c>
      <c r="E568" s="4">
        <v>1</v>
      </c>
      <c r="F568" s="4">
        <v>0</v>
      </c>
      <c r="G568" s="4">
        <v>0</v>
      </c>
      <c r="H568" s="4">
        <v>0</v>
      </c>
      <c r="I568" s="4" t="s">
        <v>1</v>
      </c>
      <c r="K5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0.21111621807057096</v>
      </c>
    </row>
    <row r="569" spans="1:11" x14ac:dyDescent="0.3">
      <c r="A569" s="4">
        <v>28</v>
      </c>
      <c r="B569" s="4">
        <v>500000</v>
      </c>
      <c r="C569" s="4">
        <v>5</v>
      </c>
      <c r="D569" s="4">
        <v>0</v>
      </c>
      <c r="E569" s="4">
        <v>1</v>
      </c>
      <c r="F569" s="4">
        <v>1</v>
      </c>
      <c r="G569" s="4">
        <v>0</v>
      </c>
      <c r="H569" s="4">
        <v>0</v>
      </c>
      <c r="I569" s="4" t="s">
        <v>1</v>
      </c>
      <c r="K5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9.9595943024362504E-2</v>
      </c>
    </row>
    <row r="570" spans="1:11" x14ac:dyDescent="0.3">
      <c r="A570" s="4">
        <v>34</v>
      </c>
      <c r="B570" s="4">
        <v>1050000</v>
      </c>
      <c r="C570" s="4">
        <v>5</v>
      </c>
      <c r="D570" s="4">
        <v>0</v>
      </c>
      <c r="E570" s="4">
        <v>1</v>
      </c>
      <c r="F570" s="4">
        <v>0</v>
      </c>
      <c r="G570" s="4">
        <v>0</v>
      </c>
      <c r="H570" s="4">
        <v>0</v>
      </c>
      <c r="I570" s="4" t="s">
        <v>1</v>
      </c>
      <c r="K5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0.33487216276705989</v>
      </c>
    </row>
    <row r="571" spans="1:11" x14ac:dyDescent="0.3">
      <c r="A571" s="4">
        <v>25</v>
      </c>
      <c r="B571" s="4">
        <v>1700000</v>
      </c>
      <c r="C571" s="4">
        <v>3</v>
      </c>
      <c r="D571" s="4">
        <v>0</v>
      </c>
      <c r="E571" s="4">
        <v>1</v>
      </c>
      <c r="F571" s="4">
        <v>0</v>
      </c>
      <c r="G571" s="4">
        <v>1</v>
      </c>
      <c r="H571" s="4">
        <v>0</v>
      </c>
      <c r="I571" s="4" t="s">
        <v>1</v>
      </c>
      <c r="K5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0.46786933755048282</v>
      </c>
    </row>
    <row r="572" spans="1:11" x14ac:dyDescent="0.3">
      <c r="A572" s="4">
        <v>34</v>
      </c>
      <c r="B572" s="4">
        <v>700000</v>
      </c>
      <c r="C572" s="4">
        <v>8</v>
      </c>
      <c r="D572" s="4">
        <v>0</v>
      </c>
      <c r="E572" s="4">
        <v>1</v>
      </c>
      <c r="F572" s="4">
        <v>0</v>
      </c>
      <c r="G572" s="4">
        <v>0</v>
      </c>
      <c r="H572" s="4">
        <v>0</v>
      </c>
      <c r="I572" s="4" t="s">
        <v>1</v>
      </c>
      <c r="K5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0.27952736467990891</v>
      </c>
    </row>
    <row r="573" spans="1:11" x14ac:dyDescent="0.3">
      <c r="A573" s="4">
        <v>28</v>
      </c>
      <c r="B573" s="4">
        <v>1200000</v>
      </c>
      <c r="C573" s="4">
        <v>3</v>
      </c>
      <c r="D573" s="4">
        <v>1</v>
      </c>
      <c r="E573" s="4">
        <v>1</v>
      </c>
      <c r="F573" s="4">
        <v>0</v>
      </c>
      <c r="G573" s="4">
        <v>0</v>
      </c>
      <c r="H573" s="4">
        <v>0</v>
      </c>
      <c r="I573" s="4" t="s">
        <v>1</v>
      </c>
      <c r="K5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0.2436812882561547</v>
      </c>
    </row>
    <row r="574" spans="1:11" x14ac:dyDescent="0.3">
      <c r="A574" s="4">
        <v>28</v>
      </c>
      <c r="B574" s="4">
        <v>500000</v>
      </c>
      <c r="C574" s="4">
        <v>5</v>
      </c>
      <c r="D574" s="4">
        <v>0</v>
      </c>
      <c r="E574" s="4">
        <v>1</v>
      </c>
      <c r="F574" s="4">
        <v>1</v>
      </c>
      <c r="G574" s="4">
        <v>0</v>
      </c>
      <c r="H574" s="4">
        <v>0</v>
      </c>
      <c r="I574" s="4" t="s">
        <v>1</v>
      </c>
      <c r="K5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9.9595943024362504E-2</v>
      </c>
    </row>
    <row r="575" spans="1:11" x14ac:dyDescent="0.3">
      <c r="A575" s="4">
        <v>28</v>
      </c>
      <c r="B575" s="4">
        <v>550000</v>
      </c>
      <c r="C575" s="4">
        <v>5</v>
      </c>
      <c r="D575" s="4">
        <v>0</v>
      </c>
      <c r="E575" s="4">
        <v>0</v>
      </c>
      <c r="F575" s="4">
        <v>0</v>
      </c>
      <c r="G575" s="4">
        <v>0</v>
      </c>
      <c r="H575" s="4">
        <v>0</v>
      </c>
      <c r="I575" s="4" t="s">
        <v>1</v>
      </c>
      <c r="K5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0.18089578200517265</v>
      </c>
    </row>
    <row r="576" spans="1:11" x14ac:dyDescent="0.3">
      <c r="A576" s="4">
        <v>34</v>
      </c>
      <c r="B576" s="4">
        <v>1300000</v>
      </c>
      <c r="C576" s="4">
        <v>7</v>
      </c>
      <c r="D576" s="4">
        <v>1</v>
      </c>
      <c r="E576" s="4">
        <v>1</v>
      </c>
      <c r="F576" s="4">
        <v>1</v>
      </c>
      <c r="G576" s="4">
        <v>0</v>
      </c>
      <c r="H576" s="4">
        <v>0</v>
      </c>
      <c r="I576" s="4" t="s">
        <v>1</v>
      </c>
      <c r="K5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0.43996044328748141</v>
      </c>
    </row>
    <row r="577" spans="1:11" x14ac:dyDescent="0.3">
      <c r="A577" s="4">
        <v>33</v>
      </c>
      <c r="B577" s="4">
        <v>400000</v>
      </c>
      <c r="C577" s="4">
        <v>6</v>
      </c>
      <c r="D577" s="4">
        <v>1</v>
      </c>
      <c r="E577" s="4">
        <v>1</v>
      </c>
      <c r="F577" s="4">
        <v>0</v>
      </c>
      <c r="G577" s="4">
        <v>0</v>
      </c>
      <c r="H577" s="4">
        <v>0</v>
      </c>
      <c r="I577" s="4" t="s">
        <v>1</v>
      </c>
      <c r="K5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0.11871383282036348</v>
      </c>
    </row>
    <row r="578" spans="1:11" x14ac:dyDescent="0.3">
      <c r="A578" s="4">
        <v>30</v>
      </c>
      <c r="B578" s="4">
        <v>550000</v>
      </c>
      <c r="C578" s="4">
        <v>4</v>
      </c>
      <c r="D578" s="4">
        <v>0</v>
      </c>
      <c r="E578" s="4">
        <v>0</v>
      </c>
      <c r="F578" s="4">
        <v>0</v>
      </c>
      <c r="G578" s="4">
        <v>0</v>
      </c>
      <c r="H578" s="4">
        <v>0</v>
      </c>
      <c r="I578" s="4" t="s">
        <v>1</v>
      </c>
      <c r="K5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0.19088256250601465</v>
      </c>
    </row>
    <row r="579" spans="1:11" x14ac:dyDescent="0.3">
      <c r="A579" s="4">
        <v>33</v>
      </c>
      <c r="B579" s="4">
        <v>800000</v>
      </c>
      <c r="C579" s="4">
        <v>6</v>
      </c>
      <c r="D579" s="4">
        <v>1</v>
      </c>
      <c r="E579" s="4">
        <v>1</v>
      </c>
      <c r="F579" s="4">
        <v>1</v>
      </c>
      <c r="G579" s="4">
        <v>0</v>
      </c>
      <c r="H579" s="4">
        <v>0</v>
      </c>
      <c r="I579" s="4" t="s">
        <v>1</v>
      </c>
      <c r="K5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0.25600869282917937</v>
      </c>
    </row>
    <row r="580" spans="1:11" x14ac:dyDescent="0.3">
      <c r="A580" s="4">
        <v>27</v>
      </c>
      <c r="B580" s="4">
        <v>500000</v>
      </c>
      <c r="C580" s="4">
        <v>4</v>
      </c>
      <c r="D580" s="4">
        <v>1</v>
      </c>
      <c r="E580" s="4">
        <v>1</v>
      </c>
      <c r="F580" s="4">
        <v>0</v>
      </c>
      <c r="G580" s="4">
        <v>0</v>
      </c>
      <c r="H580" s="4">
        <v>0</v>
      </c>
      <c r="I580" s="4" t="s">
        <v>1</v>
      </c>
      <c r="K5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3.3036993850935212E-2</v>
      </c>
    </row>
    <row r="581" spans="1:11" x14ac:dyDescent="0.3">
      <c r="A581" s="4">
        <v>28</v>
      </c>
      <c r="B581" s="4">
        <v>600000</v>
      </c>
      <c r="C581" s="4">
        <v>7</v>
      </c>
      <c r="D581" s="4">
        <v>1</v>
      </c>
      <c r="E581" s="4">
        <v>1</v>
      </c>
      <c r="F581" s="4">
        <v>1</v>
      </c>
      <c r="G581" s="4">
        <v>0</v>
      </c>
      <c r="H581" s="4">
        <v>0</v>
      </c>
      <c r="I581" s="4" t="s">
        <v>1</v>
      </c>
      <c r="K5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0.14391927436984078</v>
      </c>
    </row>
    <row r="582" spans="1:11" x14ac:dyDescent="0.3">
      <c r="A582" s="4">
        <v>31</v>
      </c>
      <c r="B582" s="4">
        <v>400000</v>
      </c>
      <c r="C582" s="4">
        <v>6</v>
      </c>
      <c r="D582" s="4">
        <v>1</v>
      </c>
      <c r="E582" s="4">
        <v>1</v>
      </c>
      <c r="F582" s="4">
        <v>0</v>
      </c>
      <c r="G582" s="4">
        <v>0</v>
      </c>
      <c r="H582" s="4">
        <v>0</v>
      </c>
      <c r="I582" s="4" t="s">
        <v>1</v>
      </c>
      <c r="K5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9.1461359959431235E-2</v>
      </c>
    </row>
    <row r="583" spans="1:11" x14ac:dyDescent="0.3">
      <c r="A583" s="4">
        <v>34</v>
      </c>
      <c r="B583" s="4">
        <v>1000000</v>
      </c>
      <c r="C583" s="4">
        <v>5</v>
      </c>
      <c r="D583" s="4">
        <v>0</v>
      </c>
      <c r="E583" s="4">
        <v>1</v>
      </c>
      <c r="F583" s="4">
        <v>0</v>
      </c>
      <c r="G583" s="4">
        <v>0</v>
      </c>
      <c r="H583" s="4">
        <v>0</v>
      </c>
      <c r="I583" s="4" t="s">
        <v>1</v>
      </c>
      <c r="K5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0.3195661806002853</v>
      </c>
    </row>
    <row r="584" spans="1:11" x14ac:dyDescent="0.3">
      <c r="A584" s="4">
        <v>33</v>
      </c>
      <c r="B584" s="4">
        <v>1400000</v>
      </c>
      <c r="C584" s="4">
        <v>8</v>
      </c>
      <c r="D584" s="4">
        <v>0</v>
      </c>
      <c r="E584" s="4">
        <v>1</v>
      </c>
      <c r="F584" s="4">
        <v>1</v>
      </c>
      <c r="G584" s="4">
        <v>0</v>
      </c>
      <c r="H584" s="4">
        <v>1</v>
      </c>
      <c r="I584" s="4" t="s">
        <v>1</v>
      </c>
      <c r="K5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0.84542363248711583</v>
      </c>
    </row>
    <row r="585" spans="1:11" x14ac:dyDescent="0.3">
      <c r="A585" s="4">
        <v>31</v>
      </c>
      <c r="B585" s="4">
        <v>1350000</v>
      </c>
      <c r="C585" s="4">
        <v>3</v>
      </c>
      <c r="D585" s="4">
        <v>0</v>
      </c>
      <c r="E585" s="4">
        <v>1</v>
      </c>
      <c r="F585" s="4">
        <v>0</v>
      </c>
      <c r="G585" s="4">
        <v>1</v>
      </c>
      <c r="H585" s="4">
        <v>1</v>
      </c>
      <c r="I585" s="4" t="s">
        <v>1</v>
      </c>
      <c r="K5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0.79287663219406768</v>
      </c>
    </row>
    <row r="586" spans="1:11" x14ac:dyDescent="0.3">
      <c r="A586" s="4">
        <v>33</v>
      </c>
      <c r="B586" s="4">
        <v>1000000</v>
      </c>
      <c r="C586" s="4">
        <v>5</v>
      </c>
      <c r="D586" s="4">
        <v>1</v>
      </c>
      <c r="E586" s="4">
        <v>1</v>
      </c>
      <c r="F586" s="4">
        <v>0</v>
      </c>
      <c r="G586" s="4">
        <v>0</v>
      </c>
      <c r="H586" s="4">
        <v>1</v>
      </c>
      <c r="I586" s="4" t="s">
        <v>1</v>
      </c>
      <c r="K5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0.63551167768977757</v>
      </c>
    </row>
    <row r="587" spans="1:11" x14ac:dyDescent="0.3">
      <c r="A587" s="4">
        <v>31</v>
      </c>
      <c r="B587" s="4">
        <v>1200000</v>
      </c>
      <c r="C587" s="4">
        <v>3</v>
      </c>
      <c r="D587" s="4">
        <v>1</v>
      </c>
      <c r="E587" s="4">
        <v>1</v>
      </c>
      <c r="F587" s="4">
        <v>0</v>
      </c>
      <c r="G587" s="4">
        <v>0</v>
      </c>
      <c r="H587" s="4">
        <v>0</v>
      </c>
      <c r="I587" s="4" t="s">
        <v>1</v>
      </c>
      <c r="K5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0.28455999754755312</v>
      </c>
    </row>
    <row r="588" spans="1:11" x14ac:dyDescent="0.3">
      <c r="A588" s="4">
        <v>31</v>
      </c>
      <c r="B588" s="4">
        <v>350000</v>
      </c>
      <c r="C588" s="4">
        <v>3</v>
      </c>
      <c r="D588" s="4">
        <v>1</v>
      </c>
      <c r="E588" s="4">
        <v>0</v>
      </c>
      <c r="F588" s="4">
        <v>0</v>
      </c>
      <c r="G588" s="4">
        <v>0</v>
      </c>
      <c r="H588" s="4">
        <v>0</v>
      </c>
      <c r="I588" s="4" t="s">
        <v>1</v>
      </c>
      <c r="K5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0.10519916020104084</v>
      </c>
    </row>
    <row r="589" spans="1:11" x14ac:dyDescent="0.3">
      <c r="A589" s="4">
        <v>25</v>
      </c>
      <c r="B589" s="4">
        <v>500000</v>
      </c>
      <c r="C589" s="4">
        <v>4</v>
      </c>
      <c r="D589" s="4">
        <v>0</v>
      </c>
      <c r="E589" s="4">
        <v>1</v>
      </c>
      <c r="F589" s="4">
        <v>1</v>
      </c>
      <c r="G589" s="4">
        <v>0</v>
      </c>
      <c r="H589" s="4">
        <v>0</v>
      </c>
      <c r="I589" s="4" t="s">
        <v>1</v>
      </c>
      <c r="K5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4.1451541372873789E-2</v>
      </c>
    </row>
    <row r="590" spans="1:11" x14ac:dyDescent="0.3">
      <c r="A590" s="4">
        <v>33</v>
      </c>
      <c r="B590" s="4">
        <v>650000</v>
      </c>
      <c r="C590" s="4">
        <v>3</v>
      </c>
      <c r="D590" s="4">
        <v>1</v>
      </c>
      <c r="E590" s="4">
        <v>1</v>
      </c>
      <c r="F590" s="4">
        <v>0</v>
      </c>
      <c r="G590" s="4">
        <v>0</v>
      </c>
      <c r="H590" s="4">
        <v>0</v>
      </c>
      <c r="I590" s="4" t="s">
        <v>1</v>
      </c>
      <c r="K5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0.14344666657396538</v>
      </c>
    </row>
    <row r="591" spans="1:11" x14ac:dyDescent="0.3">
      <c r="A591" s="4">
        <v>29</v>
      </c>
      <c r="B591" s="4">
        <v>1200000</v>
      </c>
      <c r="C591" s="4">
        <v>4</v>
      </c>
      <c r="D591" s="4">
        <v>0</v>
      </c>
      <c r="E591" s="4">
        <v>1</v>
      </c>
      <c r="F591" s="4">
        <v>0</v>
      </c>
      <c r="G591" s="4">
        <v>1</v>
      </c>
      <c r="H591" s="4">
        <v>0</v>
      </c>
      <c r="I591" s="4" t="s">
        <v>1</v>
      </c>
      <c r="K5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0.3865801539646922</v>
      </c>
    </row>
    <row r="592" spans="1:11" x14ac:dyDescent="0.3">
      <c r="A592" s="4">
        <v>34</v>
      </c>
      <c r="B592" s="4">
        <v>1000000</v>
      </c>
      <c r="C592" s="4">
        <v>3</v>
      </c>
      <c r="D592" s="4">
        <v>0</v>
      </c>
      <c r="E592" s="4">
        <v>1</v>
      </c>
      <c r="F592" s="4">
        <v>0</v>
      </c>
      <c r="G592" s="4">
        <v>0</v>
      </c>
      <c r="H592" s="4">
        <v>0</v>
      </c>
      <c r="I592" s="4" t="s">
        <v>1</v>
      </c>
      <c r="K5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0.28503479588010472</v>
      </c>
    </row>
    <row r="593" spans="1:11" x14ac:dyDescent="0.3">
      <c r="A593" s="4">
        <v>29</v>
      </c>
      <c r="B593" s="4">
        <v>600000</v>
      </c>
      <c r="C593" s="4">
        <v>6</v>
      </c>
      <c r="D593" s="4">
        <v>0</v>
      </c>
      <c r="E593" s="4">
        <v>1</v>
      </c>
      <c r="F593" s="4">
        <v>0</v>
      </c>
      <c r="G593" s="4">
        <v>0</v>
      </c>
      <c r="H593" s="4">
        <v>0</v>
      </c>
      <c r="I593" s="4" t="s">
        <v>1</v>
      </c>
      <c r="K5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0.14625283347384854</v>
      </c>
    </row>
    <row r="594" spans="1:11" x14ac:dyDescent="0.3">
      <c r="A594" s="4">
        <v>31</v>
      </c>
      <c r="B594" s="4">
        <v>1200000</v>
      </c>
      <c r="C594" s="4">
        <v>5</v>
      </c>
      <c r="D594" s="4">
        <v>1</v>
      </c>
      <c r="E594" s="4">
        <v>1</v>
      </c>
      <c r="F594" s="4">
        <v>1</v>
      </c>
      <c r="G594" s="4">
        <v>0</v>
      </c>
      <c r="H594" s="4">
        <v>0</v>
      </c>
      <c r="I594" s="4" t="s">
        <v>1</v>
      </c>
      <c r="K5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0.33393838494235323</v>
      </c>
    </row>
    <row r="595" spans="1:11" x14ac:dyDescent="0.3">
      <c r="A595" s="4">
        <v>34</v>
      </c>
      <c r="B595" s="4">
        <v>1500000</v>
      </c>
      <c r="C595" s="4">
        <v>2</v>
      </c>
      <c r="D595" s="4">
        <v>0</v>
      </c>
      <c r="E595" s="4">
        <v>1</v>
      </c>
      <c r="F595" s="4">
        <v>0</v>
      </c>
      <c r="G595" s="4">
        <v>1</v>
      </c>
      <c r="H595" s="4">
        <v>1</v>
      </c>
      <c r="I595" s="4" t="s">
        <v>1</v>
      </c>
      <c r="K5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0.86240759562569935</v>
      </c>
    </row>
    <row r="596" spans="1:11" x14ac:dyDescent="0.3">
      <c r="A596" s="4">
        <v>30</v>
      </c>
      <c r="B596" s="4">
        <v>550000</v>
      </c>
      <c r="C596" s="4">
        <v>3</v>
      </c>
      <c r="D596" s="4">
        <v>0</v>
      </c>
      <c r="E596" s="4">
        <v>0</v>
      </c>
      <c r="F596" s="4">
        <v>0</v>
      </c>
      <c r="G596" s="4">
        <v>0</v>
      </c>
      <c r="H596" s="4">
        <v>0</v>
      </c>
      <c r="I596" s="4" t="s">
        <v>1</v>
      </c>
      <c r="K5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0.17361687014592436</v>
      </c>
    </row>
    <row r="597" spans="1:11" x14ac:dyDescent="0.3">
      <c r="A597" s="4">
        <v>29</v>
      </c>
      <c r="B597" s="4">
        <v>1200000</v>
      </c>
      <c r="C597" s="4">
        <v>5</v>
      </c>
      <c r="D597" s="4">
        <v>0</v>
      </c>
      <c r="E597" s="4">
        <v>1</v>
      </c>
      <c r="F597" s="4">
        <v>0</v>
      </c>
      <c r="G597" s="4">
        <v>1</v>
      </c>
      <c r="H597" s="4">
        <v>0</v>
      </c>
      <c r="I597" s="4" t="s">
        <v>1</v>
      </c>
      <c r="K5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0.40384584632478243</v>
      </c>
    </row>
    <row r="598" spans="1:11" x14ac:dyDescent="0.3">
      <c r="A598" s="4">
        <v>25</v>
      </c>
      <c r="B598" s="4">
        <v>1400000</v>
      </c>
      <c r="C598" s="4">
        <v>4</v>
      </c>
      <c r="D598" s="4">
        <v>0</v>
      </c>
      <c r="E598" s="4">
        <v>1</v>
      </c>
      <c r="F598" s="4">
        <v>0</v>
      </c>
      <c r="G598" s="4">
        <v>0</v>
      </c>
      <c r="H598" s="4">
        <v>1</v>
      </c>
      <c r="I598" s="4" t="s">
        <v>1</v>
      </c>
      <c r="K5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0.65250396892840612</v>
      </c>
    </row>
    <row r="599" spans="1:11" x14ac:dyDescent="0.3">
      <c r="A599" s="4">
        <v>29</v>
      </c>
      <c r="B599" s="4">
        <v>600000</v>
      </c>
      <c r="C599" s="4">
        <v>4</v>
      </c>
      <c r="D599" s="4">
        <v>1</v>
      </c>
      <c r="E599" s="4">
        <v>1</v>
      </c>
      <c r="F599" s="4">
        <v>0</v>
      </c>
      <c r="G599" s="4">
        <v>0</v>
      </c>
      <c r="H599" s="4">
        <v>0</v>
      </c>
      <c r="I599" s="4" t="s">
        <v>1</v>
      </c>
      <c r="K5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9.090143104541655E-2</v>
      </c>
    </row>
    <row r="600" spans="1:11" x14ac:dyDescent="0.3">
      <c r="A600" s="4">
        <v>31</v>
      </c>
      <c r="B600" s="4">
        <v>1400000</v>
      </c>
      <c r="C600" s="4">
        <v>3</v>
      </c>
      <c r="D600" s="4">
        <v>0</v>
      </c>
      <c r="E600" s="4">
        <v>1</v>
      </c>
      <c r="F600" s="4">
        <v>0</v>
      </c>
      <c r="G600" s="4">
        <v>1</v>
      </c>
      <c r="H600" s="4">
        <v>1</v>
      </c>
      <c r="I600" s="4" t="s">
        <v>1</v>
      </c>
      <c r="K6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0.80818261436084227</v>
      </c>
    </row>
    <row r="601" spans="1:11" x14ac:dyDescent="0.3">
      <c r="A601" s="4">
        <v>28</v>
      </c>
      <c r="B601" s="4">
        <v>900000</v>
      </c>
      <c r="C601" s="4">
        <v>2</v>
      </c>
      <c r="D601" s="4">
        <v>0</v>
      </c>
      <c r="E601" s="4">
        <v>1</v>
      </c>
      <c r="F601" s="4">
        <v>0</v>
      </c>
      <c r="G601" s="4">
        <v>1</v>
      </c>
      <c r="H601" s="4">
        <v>0</v>
      </c>
      <c r="I601" s="4" t="s">
        <v>1</v>
      </c>
      <c r="K6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0.24658663981339818</v>
      </c>
    </row>
    <row r="602" spans="1:11" x14ac:dyDescent="0.3">
      <c r="A602" s="4">
        <v>33</v>
      </c>
      <c r="B602" s="4">
        <v>400000</v>
      </c>
      <c r="C602" s="4">
        <v>5</v>
      </c>
      <c r="D602" s="4">
        <v>1</v>
      </c>
      <c r="E602" s="4">
        <v>1</v>
      </c>
      <c r="F602" s="4">
        <v>0</v>
      </c>
      <c r="G602" s="4">
        <v>0</v>
      </c>
      <c r="H602" s="4">
        <v>0</v>
      </c>
      <c r="I602" s="4" t="s">
        <v>1</v>
      </c>
      <c r="K6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0.10144814046027319</v>
      </c>
    </row>
    <row r="603" spans="1:11" x14ac:dyDescent="0.3">
      <c r="A603" s="4">
        <v>26</v>
      </c>
      <c r="B603" s="4">
        <v>500000</v>
      </c>
      <c r="C603" s="4">
        <v>4</v>
      </c>
      <c r="D603" s="4">
        <v>1</v>
      </c>
      <c r="E603" s="4">
        <v>1</v>
      </c>
      <c r="F603" s="4">
        <v>0</v>
      </c>
      <c r="G603" s="4">
        <v>0</v>
      </c>
      <c r="H603" s="4">
        <v>0</v>
      </c>
      <c r="I603" s="4" t="s">
        <v>1</v>
      </c>
      <c r="K6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1.9410757420469091E-2</v>
      </c>
    </row>
    <row r="604" spans="1:11" x14ac:dyDescent="0.3">
      <c r="A604" s="4">
        <v>28</v>
      </c>
      <c r="B604" s="4">
        <v>550000</v>
      </c>
      <c r="C604" s="4">
        <v>3</v>
      </c>
      <c r="D604" s="4">
        <v>0</v>
      </c>
      <c r="E604" s="4">
        <v>1</v>
      </c>
      <c r="F604" s="4">
        <v>0</v>
      </c>
      <c r="G604" s="4">
        <v>0</v>
      </c>
      <c r="H604" s="4">
        <v>0</v>
      </c>
      <c r="I604" s="4" t="s">
        <v>1</v>
      </c>
      <c r="K6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6.5523537796337031E-2</v>
      </c>
    </row>
    <row r="605" spans="1:11" x14ac:dyDescent="0.3">
      <c r="A605" s="4">
        <v>34</v>
      </c>
      <c r="B605" s="4">
        <v>500000</v>
      </c>
      <c r="C605" s="4">
        <v>4</v>
      </c>
      <c r="D605" s="4">
        <v>0</v>
      </c>
      <c r="E605" s="4">
        <v>1</v>
      </c>
      <c r="F605" s="4">
        <v>0</v>
      </c>
      <c r="G605" s="4">
        <v>0</v>
      </c>
      <c r="H605" s="4">
        <v>0</v>
      </c>
      <c r="I605" s="4" t="s">
        <v>1</v>
      </c>
      <c r="K6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0.14924066657244955</v>
      </c>
    </row>
    <row r="606" spans="1:11" x14ac:dyDescent="0.3">
      <c r="A606" s="4">
        <v>28</v>
      </c>
      <c r="B606" s="4">
        <v>750000</v>
      </c>
      <c r="C606" s="4">
        <v>3</v>
      </c>
      <c r="D606" s="4">
        <v>0</v>
      </c>
      <c r="E606" s="4">
        <v>1</v>
      </c>
      <c r="F606" s="4">
        <v>0</v>
      </c>
      <c r="G606" s="4">
        <v>0</v>
      </c>
      <c r="H606" s="4">
        <v>0</v>
      </c>
      <c r="I606" s="4" t="s">
        <v>1</v>
      </c>
      <c r="K6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0.12674746646343521</v>
      </c>
    </row>
    <row r="607" spans="1:11" x14ac:dyDescent="0.3">
      <c r="A607" s="4">
        <v>28</v>
      </c>
      <c r="B607" s="4">
        <v>800000</v>
      </c>
      <c r="C607" s="4">
        <v>2</v>
      </c>
      <c r="D607" s="4">
        <v>0</v>
      </c>
      <c r="E607" s="4">
        <v>1</v>
      </c>
      <c r="F607" s="4">
        <v>0</v>
      </c>
      <c r="G607" s="4">
        <v>0</v>
      </c>
      <c r="H607" s="4">
        <v>0</v>
      </c>
      <c r="I607" s="4" t="s">
        <v>1</v>
      </c>
      <c r="K6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0.12478775627011947</v>
      </c>
    </row>
    <row r="608" spans="1:11" x14ac:dyDescent="0.3">
      <c r="A608" s="4">
        <v>31</v>
      </c>
      <c r="B608" s="4">
        <v>1400000</v>
      </c>
      <c r="C608" s="4">
        <v>5</v>
      </c>
      <c r="D608" s="4">
        <v>0</v>
      </c>
      <c r="E608" s="4">
        <v>1</v>
      </c>
      <c r="F608" s="4">
        <v>0</v>
      </c>
      <c r="G608" s="4">
        <v>1</v>
      </c>
      <c r="H608" s="4">
        <v>1</v>
      </c>
      <c r="I608" s="4" t="s">
        <v>1</v>
      </c>
      <c r="K6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0.84271399908102285</v>
      </c>
    </row>
    <row r="609" spans="1:11" x14ac:dyDescent="0.3">
      <c r="A609" s="4">
        <v>34</v>
      </c>
      <c r="B609" s="4">
        <v>1500000</v>
      </c>
      <c r="C609" s="4">
        <v>5</v>
      </c>
      <c r="D609" s="4">
        <v>0</v>
      </c>
      <c r="E609" s="4">
        <v>1</v>
      </c>
      <c r="F609" s="4">
        <v>1</v>
      </c>
      <c r="G609" s="4">
        <v>1</v>
      </c>
      <c r="H609" s="4">
        <v>1</v>
      </c>
      <c r="I609" s="4" t="s">
        <v>1</v>
      </c>
      <c r="K6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0.92905167538058975</v>
      </c>
    </row>
    <row r="610" spans="1:11" x14ac:dyDescent="0.3">
      <c r="A610" s="4">
        <v>33</v>
      </c>
      <c r="B610" s="4">
        <v>650000</v>
      </c>
      <c r="C610" s="4">
        <v>9</v>
      </c>
      <c r="D610" s="4">
        <v>1</v>
      </c>
      <c r="E610" s="4">
        <v>1</v>
      </c>
      <c r="F610" s="4">
        <v>1</v>
      </c>
      <c r="G610" s="4">
        <v>0</v>
      </c>
      <c r="H610" s="4">
        <v>0</v>
      </c>
      <c r="I610" s="4" t="s">
        <v>1</v>
      </c>
      <c r="K6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0.26188782340912659</v>
      </c>
    </row>
    <row r="611" spans="1:11" x14ac:dyDescent="0.3">
      <c r="A611" s="4">
        <v>28</v>
      </c>
      <c r="B611" s="4">
        <v>300000</v>
      </c>
      <c r="C611" s="4">
        <v>6</v>
      </c>
      <c r="D611" s="4">
        <v>1</v>
      </c>
      <c r="E611" s="4">
        <v>1</v>
      </c>
      <c r="F611" s="4">
        <v>1</v>
      </c>
      <c r="G611" s="4">
        <v>0</v>
      </c>
      <c r="H611" s="4">
        <v>0</v>
      </c>
      <c r="I611" s="4" t="s">
        <v>1</v>
      </c>
      <c r="K6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3.4817689009103168E-2</v>
      </c>
    </row>
    <row r="612" spans="1:11" x14ac:dyDescent="0.3">
      <c r="A612" s="4">
        <v>28</v>
      </c>
      <c r="B612" s="4">
        <v>600000</v>
      </c>
      <c r="C612" s="4">
        <v>4</v>
      </c>
      <c r="D612" s="4">
        <v>0</v>
      </c>
      <c r="E612" s="4">
        <v>1</v>
      </c>
      <c r="F612" s="4">
        <v>0</v>
      </c>
      <c r="G612" s="4">
        <v>0</v>
      </c>
      <c r="H612" s="4">
        <v>0</v>
      </c>
      <c r="I612" s="4" t="s">
        <v>1</v>
      </c>
      <c r="K6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9.8095212323201855E-2</v>
      </c>
    </row>
    <row r="613" spans="1:11" x14ac:dyDescent="0.3">
      <c r="A613" s="4">
        <v>35</v>
      </c>
      <c r="B613" s="4">
        <v>900000</v>
      </c>
      <c r="C613" s="4">
        <v>7</v>
      </c>
      <c r="D613" s="4">
        <v>1</v>
      </c>
      <c r="E613" s="4">
        <v>1</v>
      </c>
      <c r="F613" s="4">
        <v>1</v>
      </c>
      <c r="G613" s="4">
        <v>1</v>
      </c>
      <c r="H613" s="4">
        <v>0</v>
      </c>
      <c r="I613" s="4" t="s">
        <v>1</v>
      </c>
      <c r="K6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0.42232574159348069</v>
      </c>
    </row>
    <row r="614" spans="1:11" x14ac:dyDescent="0.3">
      <c r="A614" s="4">
        <v>29</v>
      </c>
      <c r="B614" s="4">
        <v>1050000</v>
      </c>
      <c r="C614" s="4">
        <v>3</v>
      </c>
      <c r="D614" s="4">
        <v>0</v>
      </c>
      <c r="E614" s="4">
        <v>1</v>
      </c>
      <c r="F614" s="4">
        <v>0</v>
      </c>
      <c r="G614" s="4">
        <v>0</v>
      </c>
      <c r="H614" s="4">
        <v>0</v>
      </c>
      <c r="I614" s="4" t="s">
        <v>1</v>
      </c>
      <c r="K6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0.23220959589454859</v>
      </c>
    </row>
    <row r="615" spans="1:11" x14ac:dyDescent="0.3">
      <c r="A615" s="4">
        <v>28</v>
      </c>
      <c r="B615" s="4">
        <v>300000</v>
      </c>
      <c r="C615" s="4">
        <v>4</v>
      </c>
      <c r="D615" s="4">
        <v>1</v>
      </c>
      <c r="E615" s="4">
        <v>1</v>
      </c>
      <c r="F615" s="4">
        <v>0</v>
      </c>
      <c r="G615" s="4">
        <v>0</v>
      </c>
      <c r="H615" s="4">
        <v>0</v>
      </c>
      <c r="I615" s="4" t="s">
        <v>1</v>
      </c>
      <c r="K6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-1.4560698385696874E-2</v>
      </c>
    </row>
    <row r="616" spans="1:11" x14ac:dyDescent="0.3">
      <c r="A616" s="4">
        <v>27</v>
      </c>
      <c r="B616" s="4">
        <v>500000</v>
      </c>
      <c r="C616" s="4">
        <v>2</v>
      </c>
      <c r="D616" s="4">
        <v>1</v>
      </c>
      <c r="E616" s="4">
        <v>1</v>
      </c>
      <c r="F616" s="4">
        <v>1</v>
      </c>
      <c r="G616" s="4">
        <v>0</v>
      </c>
      <c r="H616" s="4">
        <v>0</v>
      </c>
      <c r="I616" s="4" t="s">
        <v>1</v>
      </c>
      <c r="K6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1.3352611805374068E-2</v>
      </c>
    </row>
    <row r="617" spans="1:11" x14ac:dyDescent="0.3">
      <c r="A617" s="4">
        <v>28</v>
      </c>
      <c r="B617" s="4">
        <v>700000</v>
      </c>
      <c r="C617" s="4">
        <v>6</v>
      </c>
      <c r="D617" s="4">
        <v>0</v>
      </c>
      <c r="E617" s="4">
        <v>1</v>
      </c>
      <c r="F617" s="4">
        <v>1</v>
      </c>
      <c r="G617" s="4">
        <v>0</v>
      </c>
      <c r="H617" s="4">
        <v>0</v>
      </c>
      <c r="I617" s="4" t="s">
        <v>1</v>
      </c>
      <c r="K6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0.17808556405155099</v>
      </c>
    </row>
    <row r="618" spans="1:11" x14ac:dyDescent="0.3">
      <c r="A618" s="4">
        <v>31</v>
      </c>
      <c r="B618" s="4">
        <v>1200000</v>
      </c>
      <c r="C618" s="4">
        <v>6</v>
      </c>
      <c r="D618" s="4">
        <v>1</v>
      </c>
      <c r="E618" s="4">
        <v>1</v>
      </c>
      <c r="F618" s="4">
        <v>0</v>
      </c>
      <c r="G618" s="4">
        <v>0</v>
      </c>
      <c r="H618" s="4">
        <v>0</v>
      </c>
      <c r="I618" s="4" t="s">
        <v>1</v>
      </c>
      <c r="K6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0.33635707462782405</v>
      </c>
    </row>
    <row r="619" spans="1:11" x14ac:dyDescent="0.3">
      <c r="A619" s="4">
        <v>28</v>
      </c>
      <c r="B619" s="4">
        <v>550000</v>
      </c>
      <c r="C619" s="4">
        <v>3</v>
      </c>
      <c r="D619" s="4">
        <v>0</v>
      </c>
      <c r="E619" s="4">
        <v>0</v>
      </c>
      <c r="F619" s="4">
        <v>0</v>
      </c>
      <c r="G619" s="4">
        <v>0</v>
      </c>
      <c r="H619" s="4">
        <v>0</v>
      </c>
      <c r="I619" s="4" t="s">
        <v>1</v>
      </c>
      <c r="K6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0.14636439728499206</v>
      </c>
    </row>
    <row r="620" spans="1:11" x14ac:dyDescent="0.3">
      <c r="A620" s="4">
        <v>28</v>
      </c>
      <c r="B620" s="4">
        <v>550000</v>
      </c>
      <c r="C620" s="4">
        <v>3</v>
      </c>
      <c r="D620" s="4">
        <v>0</v>
      </c>
      <c r="E620" s="4">
        <v>0</v>
      </c>
      <c r="F620" s="4">
        <v>0</v>
      </c>
      <c r="G620" s="4">
        <v>0</v>
      </c>
      <c r="H620" s="4">
        <v>0</v>
      </c>
      <c r="I620" s="4" t="s">
        <v>1</v>
      </c>
      <c r="K6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0.14636439728499206</v>
      </c>
    </row>
    <row r="621" spans="1:11" x14ac:dyDescent="0.3">
      <c r="A621" s="4">
        <v>28</v>
      </c>
      <c r="B621" s="4">
        <v>1200000</v>
      </c>
      <c r="C621" s="4">
        <v>5</v>
      </c>
      <c r="D621" s="4">
        <v>0</v>
      </c>
      <c r="E621" s="4">
        <v>1</v>
      </c>
      <c r="F621" s="4">
        <v>0</v>
      </c>
      <c r="G621" s="4">
        <v>0</v>
      </c>
      <c r="H621" s="4">
        <v>0</v>
      </c>
      <c r="I621" s="4" t="s">
        <v>1</v>
      </c>
      <c r="K6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0.29903269068458671</v>
      </c>
    </row>
    <row r="622" spans="1:11" x14ac:dyDescent="0.3">
      <c r="A622" s="4">
        <v>34</v>
      </c>
      <c r="B622" s="4">
        <v>1050000</v>
      </c>
      <c r="C622" s="4">
        <v>5</v>
      </c>
      <c r="D622" s="4">
        <v>0</v>
      </c>
      <c r="E622" s="4">
        <v>1</v>
      </c>
      <c r="F622" s="4">
        <v>0</v>
      </c>
      <c r="G622" s="4">
        <v>0</v>
      </c>
      <c r="H622" s="4">
        <v>0</v>
      </c>
      <c r="I622" s="4" t="s">
        <v>1</v>
      </c>
      <c r="K6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0.33487216276705989</v>
      </c>
    </row>
    <row r="623" spans="1:11" x14ac:dyDescent="0.3">
      <c r="A623" s="4">
        <v>29</v>
      </c>
      <c r="B623" s="4">
        <v>900000</v>
      </c>
      <c r="C623" s="4">
        <v>5</v>
      </c>
      <c r="D623" s="4">
        <v>0</v>
      </c>
      <c r="E623" s="4">
        <v>1</v>
      </c>
      <c r="F623" s="4">
        <v>0</v>
      </c>
      <c r="G623" s="4">
        <v>0</v>
      </c>
      <c r="H623" s="4">
        <v>0</v>
      </c>
      <c r="I623" s="4" t="s">
        <v>1</v>
      </c>
      <c r="K6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0.22082303411440563</v>
      </c>
    </row>
    <row r="624" spans="1:11" x14ac:dyDescent="0.3">
      <c r="A624" s="4">
        <v>28</v>
      </c>
      <c r="B624" s="4">
        <v>700000</v>
      </c>
      <c r="C624" s="4">
        <v>5</v>
      </c>
      <c r="D624" s="4">
        <v>0</v>
      </c>
      <c r="E624" s="4">
        <v>1</v>
      </c>
      <c r="F624" s="4">
        <v>1</v>
      </c>
      <c r="G624" s="4">
        <v>0</v>
      </c>
      <c r="H624" s="4">
        <v>0</v>
      </c>
      <c r="I624" s="4" t="s">
        <v>1</v>
      </c>
      <c r="K6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0.1608198716914607</v>
      </c>
    </row>
    <row r="625" spans="1:11" x14ac:dyDescent="0.3">
      <c r="A625" s="4">
        <v>28</v>
      </c>
      <c r="B625" s="4">
        <v>900000</v>
      </c>
      <c r="C625" s="4">
        <v>3</v>
      </c>
      <c r="D625" s="4">
        <v>0</v>
      </c>
      <c r="E625" s="4">
        <v>1</v>
      </c>
      <c r="F625" s="4">
        <v>0</v>
      </c>
      <c r="G625" s="4">
        <v>0</v>
      </c>
      <c r="H625" s="4">
        <v>0</v>
      </c>
      <c r="I625" s="4" t="s">
        <v>1</v>
      </c>
      <c r="K6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0.17266541296375887</v>
      </c>
    </row>
    <row r="626" spans="1:11" x14ac:dyDescent="0.3">
      <c r="A626" s="4">
        <v>31</v>
      </c>
      <c r="B626" s="4">
        <v>1250000</v>
      </c>
      <c r="C626" s="4">
        <v>7</v>
      </c>
      <c r="D626" s="4">
        <v>0</v>
      </c>
      <c r="E626" s="4">
        <v>1</v>
      </c>
      <c r="F626" s="4">
        <v>1</v>
      </c>
      <c r="G626" s="4">
        <v>0</v>
      </c>
      <c r="H626" s="4">
        <v>0</v>
      </c>
      <c r="I626" s="4" t="s">
        <v>1</v>
      </c>
      <c r="K6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0.40459576953755982</v>
      </c>
    </row>
    <row r="627" spans="1:11" x14ac:dyDescent="0.3">
      <c r="A627" s="4">
        <v>33</v>
      </c>
      <c r="B627" s="4">
        <v>1400000</v>
      </c>
      <c r="C627" s="4">
        <v>4</v>
      </c>
      <c r="D627" s="4">
        <v>0</v>
      </c>
      <c r="E627" s="4">
        <v>1</v>
      </c>
      <c r="F627" s="4">
        <v>0</v>
      </c>
      <c r="G627" s="4">
        <v>0</v>
      </c>
      <c r="H627" s="4">
        <v>1</v>
      </c>
      <c r="I627" s="4" t="s">
        <v>1</v>
      </c>
      <c r="K6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0.7615138603721352</v>
      </c>
    </row>
    <row r="628" spans="1:11" x14ac:dyDescent="0.3">
      <c r="A628" s="4">
        <v>28</v>
      </c>
      <c r="B628" s="4">
        <v>1150000</v>
      </c>
      <c r="C628" s="4">
        <v>6</v>
      </c>
      <c r="D628" s="4">
        <v>0</v>
      </c>
      <c r="E628" s="4">
        <v>1</v>
      </c>
      <c r="F628" s="4">
        <v>0</v>
      </c>
      <c r="G628" s="4">
        <v>0</v>
      </c>
      <c r="H628" s="4">
        <v>0</v>
      </c>
      <c r="I628" s="4" t="s">
        <v>1</v>
      </c>
      <c r="K6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0.30099240087790252</v>
      </c>
    </row>
    <row r="629" spans="1:11" x14ac:dyDescent="0.3">
      <c r="A629" s="4">
        <v>28</v>
      </c>
      <c r="B629" s="4">
        <v>800000</v>
      </c>
      <c r="C629" s="4">
        <v>3</v>
      </c>
      <c r="D629" s="4">
        <v>0</v>
      </c>
      <c r="E629" s="4">
        <v>1</v>
      </c>
      <c r="F629" s="4">
        <v>0</v>
      </c>
      <c r="G629" s="4">
        <v>0</v>
      </c>
      <c r="H629" s="4">
        <v>0</v>
      </c>
      <c r="I629" s="4" t="s">
        <v>1</v>
      </c>
      <c r="K6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0.1420534486302098</v>
      </c>
    </row>
    <row r="630" spans="1:11" x14ac:dyDescent="0.3">
      <c r="A630" s="4">
        <v>34</v>
      </c>
      <c r="B630" s="4">
        <v>1300000</v>
      </c>
      <c r="C630" s="4">
        <v>5</v>
      </c>
      <c r="D630" s="4">
        <v>0</v>
      </c>
      <c r="E630" s="4">
        <v>1</v>
      </c>
      <c r="F630" s="4">
        <v>0</v>
      </c>
      <c r="G630" s="4">
        <v>0</v>
      </c>
      <c r="H630" s="4">
        <v>0</v>
      </c>
      <c r="I630" s="4" t="s">
        <v>1</v>
      </c>
      <c r="K6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0.41140207360093262</v>
      </c>
    </row>
    <row r="631" spans="1:11" x14ac:dyDescent="0.3">
      <c r="A631" s="4">
        <v>29</v>
      </c>
      <c r="B631" s="4">
        <v>900000</v>
      </c>
      <c r="C631" s="4">
        <v>7</v>
      </c>
      <c r="D631" s="4">
        <v>0</v>
      </c>
      <c r="E631" s="4">
        <v>1</v>
      </c>
      <c r="F631" s="4">
        <v>0</v>
      </c>
      <c r="G631" s="4">
        <v>0</v>
      </c>
      <c r="H631" s="4">
        <v>0</v>
      </c>
      <c r="I631" s="4" t="s">
        <v>1</v>
      </c>
      <c r="K6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0.25535441883458621</v>
      </c>
    </row>
    <row r="632" spans="1:11" x14ac:dyDescent="0.3">
      <c r="A632" s="4">
        <v>31</v>
      </c>
      <c r="B632" s="4">
        <v>1400000</v>
      </c>
      <c r="C632" s="4">
        <v>6</v>
      </c>
      <c r="D632" s="4">
        <v>0</v>
      </c>
      <c r="E632" s="4">
        <v>1</v>
      </c>
      <c r="F632" s="4">
        <v>0</v>
      </c>
      <c r="G632" s="4">
        <v>0</v>
      </c>
      <c r="H632" s="4">
        <v>1</v>
      </c>
      <c r="I632" s="4" t="s">
        <v>1</v>
      </c>
      <c r="K6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0.76879277223138365</v>
      </c>
    </row>
    <row r="633" spans="1:11" x14ac:dyDescent="0.3">
      <c r="A633" s="4">
        <v>25</v>
      </c>
      <c r="B633" s="4">
        <v>1150000</v>
      </c>
      <c r="C633" s="4">
        <v>3</v>
      </c>
      <c r="D633" s="4">
        <v>0</v>
      </c>
      <c r="E633" s="4">
        <v>0</v>
      </c>
      <c r="F633" s="4">
        <v>0</v>
      </c>
      <c r="G633" s="4">
        <v>0</v>
      </c>
      <c r="H633" s="4">
        <v>0</v>
      </c>
      <c r="I633" s="4" t="s">
        <v>1</v>
      </c>
      <c r="K6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0.28915747399488823</v>
      </c>
    </row>
    <row r="634" spans="1:11" x14ac:dyDescent="0.3">
      <c r="A634" s="4">
        <v>31</v>
      </c>
      <c r="B634" s="4">
        <v>1400000</v>
      </c>
      <c r="C634" s="4">
        <v>3</v>
      </c>
      <c r="D634" s="4">
        <v>0</v>
      </c>
      <c r="E634" s="4">
        <v>1</v>
      </c>
      <c r="F634" s="4">
        <v>0</v>
      </c>
      <c r="G634" s="4">
        <v>0</v>
      </c>
      <c r="H634" s="4">
        <v>1</v>
      </c>
      <c r="I634" s="4" t="s">
        <v>1</v>
      </c>
      <c r="K6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0.71699569515111272</v>
      </c>
    </row>
    <row r="635" spans="1:11" x14ac:dyDescent="0.3">
      <c r="A635" s="4">
        <v>25</v>
      </c>
      <c r="B635" s="4">
        <v>1700000</v>
      </c>
      <c r="C635" s="4">
        <v>4</v>
      </c>
      <c r="D635" s="4">
        <v>0</v>
      </c>
      <c r="E635" s="4">
        <v>0</v>
      </c>
      <c r="F635" s="4">
        <v>0</v>
      </c>
      <c r="G635" s="4">
        <v>1</v>
      </c>
      <c r="H635" s="4">
        <v>0</v>
      </c>
      <c r="I635" s="4" t="s">
        <v>1</v>
      </c>
      <c r="K6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0.56597588939922816</v>
      </c>
    </row>
    <row r="636" spans="1:11" x14ac:dyDescent="0.3">
      <c r="A636" s="4">
        <v>31</v>
      </c>
      <c r="B636" s="4">
        <v>1350000</v>
      </c>
      <c r="C636" s="4">
        <v>3</v>
      </c>
      <c r="D636" s="4">
        <v>0</v>
      </c>
      <c r="E636" s="4">
        <v>1</v>
      </c>
      <c r="F636" s="4">
        <v>1</v>
      </c>
      <c r="G636" s="4">
        <v>0</v>
      </c>
      <c r="H636" s="4">
        <v>1</v>
      </c>
      <c r="I636" s="4" t="s">
        <v>1</v>
      </c>
      <c r="K6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0.71653671565895749</v>
      </c>
    </row>
    <row r="637" spans="1:11" x14ac:dyDescent="0.3">
      <c r="A637" s="4">
        <v>26</v>
      </c>
      <c r="B637" s="4">
        <v>600000</v>
      </c>
      <c r="C637" s="4">
        <v>6</v>
      </c>
      <c r="D637" s="4">
        <v>0</v>
      </c>
      <c r="E637" s="4">
        <v>1</v>
      </c>
      <c r="F637" s="4">
        <v>0</v>
      </c>
      <c r="G637" s="4">
        <v>1</v>
      </c>
      <c r="H637" s="4">
        <v>0</v>
      </c>
      <c r="I637" s="4" t="s">
        <v>1</v>
      </c>
      <c r="K6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0.19656104339217978</v>
      </c>
    </row>
    <row r="638" spans="1:11" x14ac:dyDescent="0.3">
      <c r="A638" s="4">
        <v>31</v>
      </c>
      <c r="B638" s="4">
        <v>1350000</v>
      </c>
      <c r="C638" s="4">
        <v>3</v>
      </c>
      <c r="D638" s="4">
        <v>0</v>
      </c>
      <c r="E638" s="4">
        <v>1</v>
      </c>
      <c r="F638" s="4">
        <v>0</v>
      </c>
      <c r="G638" s="4">
        <v>1</v>
      </c>
      <c r="H638" s="4">
        <v>1</v>
      </c>
      <c r="I638" s="4" t="s">
        <v>1</v>
      </c>
      <c r="K6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0.79287663219406768</v>
      </c>
    </row>
    <row r="639" spans="1:11" x14ac:dyDescent="0.3">
      <c r="A639" s="4">
        <v>31</v>
      </c>
      <c r="B639" s="4">
        <v>300000</v>
      </c>
      <c r="C639" s="4">
        <v>7</v>
      </c>
      <c r="D639" s="4">
        <v>1</v>
      </c>
      <c r="E639" s="4">
        <v>0</v>
      </c>
      <c r="F639" s="4">
        <v>0</v>
      </c>
      <c r="G639" s="4">
        <v>0</v>
      </c>
      <c r="H639" s="4">
        <v>0</v>
      </c>
      <c r="I639" s="4" t="s">
        <v>1</v>
      </c>
      <c r="K6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0.15895594747462749</v>
      </c>
    </row>
    <row r="640" spans="1:11" x14ac:dyDescent="0.3">
      <c r="A640" s="4">
        <v>34</v>
      </c>
      <c r="B640" s="4">
        <v>1050000</v>
      </c>
      <c r="C640" s="4">
        <v>6</v>
      </c>
      <c r="D640" s="4">
        <v>0</v>
      </c>
      <c r="E640" s="4">
        <v>1</v>
      </c>
      <c r="F640" s="4">
        <v>0</v>
      </c>
      <c r="G640" s="4">
        <v>0</v>
      </c>
      <c r="H640" s="4">
        <v>0</v>
      </c>
      <c r="I640" s="4" t="s">
        <v>1</v>
      </c>
      <c r="K6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0.35213785512715018</v>
      </c>
    </row>
    <row r="641" spans="1:11" x14ac:dyDescent="0.3">
      <c r="A641" s="4">
        <v>34</v>
      </c>
      <c r="B641" s="4">
        <v>1750000</v>
      </c>
      <c r="C641" s="4">
        <v>5</v>
      </c>
      <c r="D641" s="4">
        <v>0</v>
      </c>
      <c r="E641" s="4">
        <v>1</v>
      </c>
      <c r="F641" s="4">
        <v>0</v>
      </c>
      <c r="G641" s="4">
        <v>0</v>
      </c>
      <c r="H641" s="4">
        <v>0</v>
      </c>
      <c r="I641" s="4" t="s">
        <v>1</v>
      </c>
      <c r="K6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0.5491559131019037</v>
      </c>
    </row>
    <row r="642" spans="1:11" x14ac:dyDescent="0.3">
      <c r="A642" s="4">
        <v>33</v>
      </c>
      <c r="B642" s="4">
        <v>400000</v>
      </c>
      <c r="C642" s="4">
        <v>9</v>
      </c>
      <c r="D642" s="4">
        <v>1</v>
      </c>
      <c r="E642" s="4">
        <v>1</v>
      </c>
      <c r="F642" s="4">
        <v>1</v>
      </c>
      <c r="G642" s="4">
        <v>0</v>
      </c>
      <c r="H642" s="4">
        <v>0</v>
      </c>
      <c r="I642" s="4" t="s">
        <v>1</v>
      </c>
      <c r="K6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0.18535791257525383</v>
      </c>
    </row>
    <row r="643" spans="1:11" x14ac:dyDescent="0.3">
      <c r="A643" s="4">
        <v>30</v>
      </c>
      <c r="B643" s="4">
        <v>800000</v>
      </c>
      <c r="C643" s="4">
        <v>4</v>
      </c>
      <c r="D643" s="4">
        <v>0</v>
      </c>
      <c r="E643" s="4">
        <v>0</v>
      </c>
      <c r="F643" s="4">
        <v>0</v>
      </c>
      <c r="G643" s="4">
        <v>0</v>
      </c>
      <c r="H643" s="4">
        <v>0</v>
      </c>
      <c r="I643" s="4" t="s">
        <v>1</v>
      </c>
      <c r="K6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0.26741247333988738</v>
      </c>
    </row>
    <row r="644" spans="1:11" x14ac:dyDescent="0.3">
      <c r="A644" s="4">
        <v>34</v>
      </c>
      <c r="B644" s="4">
        <v>700000</v>
      </c>
      <c r="C644" s="4">
        <v>5</v>
      </c>
      <c r="D644" s="4">
        <v>0</v>
      </c>
      <c r="E644" s="4">
        <v>1</v>
      </c>
      <c r="F644" s="4">
        <v>0</v>
      </c>
      <c r="G644" s="4">
        <v>0</v>
      </c>
      <c r="H644" s="4">
        <v>0</v>
      </c>
      <c r="I644" s="4" t="s">
        <v>1</v>
      </c>
      <c r="K6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0.22773028759963804</v>
      </c>
    </row>
    <row r="645" spans="1:11" x14ac:dyDescent="0.3">
      <c r="A645" s="4">
        <v>28</v>
      </c>
      <c r="B645" s="4">
        <v>800000</v>
      </c>
      <c r="C645" s="4">
        <v>4</v>
      </c>
      <c r="D645" s="4">
        <v>0</v>
      </c>
      <c r="E645" s="4">
        <v>1</v>
      </c>
      <c r="F645" s="4">
        <v>0</v>
      </c>
      <c r="G645" s="4">
        <v>1</v>
      </c>
      <c r="H645" s="4">
        <v>0</v>
      </c>
      <c r="I645" s="4" t="s">
        <v>1</v>
      </c>
      <c r="K6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0.25050606020002969</v>
      </c>
    </row>
    <row r="646" spans="1:11" x14ac:dyDescent="0.3">
      <c r="A646" s="4">
        <v>28</v>
      </c>
      <c r="B646" s="4">
        <v>900000</v>
      </c>
      <c r="C646" s="4">
        <v>2</v>
      </c>
      <c r="D646" s="4">
        <v>0</v>
      </c>
      <c r="E646" s="4">
        <v>1</v>
      </c>
      <c r="F646" s="4">
        <v>0</v>
      </c>
      <c r="G646" s="4">
        <v>1</v>
      </c>
      <c r="H646" s="4">
        <v>0</v>
      </c>
      <c r="I646" s="4" t="s">
        <v>1</v>
      </c>
      <c r="K6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0.24658663981339818</v>
      </c>
    </row>
    <row r="647" spans="1:11" x14ac:dyDescent="0.3">
      <c r="A647" s="4">
        <v>33</v>
      </c>
      <c r="B647" s="4">
        <v>1400000</v>
      </c>
      <c r="C647" s="4">
        <v>4</v>
      </c>
      <c r="D647" s="4">
        <v>0</v>
      </c>
      <c r="E647" s="4">
        <v>1</v>
      </c>
      <c r="F647" s="4">
        <v>0</v>
      </c>
      <c r="G647" s="4">
        <v>0</v>
      </c>
      <c r="H647" s="4">
        <v>1</v>
      </c>
      <c r="I647" s="4" t="s">
        <v>1</v>
      </c>
      <c r="K6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0.7615138603721352</v>
      </c>
    </row>
    <row r="648" spans="1:11" x14ac:dyDescent="0.3">
      <c r="A648" s="4">
        <v>33</v>
      </c>
      <c r="B648" s="4">
        <v>1100000</v>
      </c>
      <c r="C648" s="4">
        <v>4</v>
      </c>
      <c r="D648" s="4">
        <v>1</v>
      </c>
      <c r="E648" s="4">
        <v>1</v>
      </c>
      <c r="F648" s="4">
        <v>0</v>
      </c>
      <c r="G648" s="4">
        <v>0</v>
      </c>
      <c r="H648" s="4">
        <v>0</v>
      </c>
      <c r="I648" s="4" t="s">
        <v>1</v>
      </c>
      <c r="K6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0.29846619843502659</v>
      </c>
    </row>
    <row r="649" spans="1:11" x14ac:dyDescent="0.3">
      <c r="A649" s="4">
        <v>31</v>
      </c>
      <c r="B649" s="4">
        <v>1250000</v>
      </c>
      <c r="C649" s="4">
        <v>5</v>
      </c>
      <c r="D649" s="4">
        <v>0</v>
      </c>
      <c r="E649" s="4">
        <v>1</v>
      </c>
      <c r="F649" s="4">
        <v>0</v>
      </c>
      <c r="G649" s="4">
        <v>0</v>
      </c>
      <c r="H649" s="4">
        <v>0</v>
      </c>
      <c r="I649" s="4" t="s">
        <v>1</v>
      </c>
      <c r="K6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0.35521738214275977</v>
      </c>
    </row>
    <row r="650" spans="1:11" x14ac:dyDescent="0.3">
      <c r="A650" s="4">
        <v>29</v>
      </c>
      <c r="B650" s="4">
        <v>1200000</v>
      </c>
      <c r="C650" s="4">
        <v>4</v>
      </c>
      <c r="D650" s="4">
        <v>0</v>
      </c>
      <c r="E650" s="4">
        <v>1</v>
      </c>
      <c r="F650" s="4">
        <v>0</v>
      </c>
      <c r="G650" s="4">
        <v>0</v>
      </c>
      <c r="H650" s="4">
        <v>0</v>
      </c>
      <c r="I650" s="4" t="s">
        <v>1</v>
      </c>
      <c r="K6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651" spans="1:11" x14ac:dyDescent="0.3">
      <c r="A651" s="4">
        <v>28</v>
      </c>
      <c r="B651" s="4">
        <v>1250000</v>
      </c>
      <c r="C651" s="4">
        <v>5</v>
      </c>
      <c r="D651" s="4">
        <v>0</v>
      </c>
      <c r="E651" s="4">
        <v>1</v>
      </c>
      <c r="F651" s="4">
        <v>0</v>
      </c>
      <c r="G651" s="4">
        <v>0</v>
      </c>
      <c r="H651" s="4">
        <v>0</v>
      </c>
      <c r="I651" s="4" t="s">
        <v>1</v>
      </c>
      <c r="K6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0.3143386728513613</v>
      </c>
    </row>
    <row r="652" spans="1:11" x14ac:dyDescent="0.3">
      <c r="A652" s="4">
        <v>25</v>
      </c>
      <c r="B652" s="4">
        <v>750000</v>
      </c>
      <c r="C652" s="4">
        <v>3</v>
      </c>
      <c r="D652" s="4">
        <v>1</v>
      </c>
      <c r="E652" s="4">
        <v>1</v>
      </c>
      <c r="F652" s="4">
        <v>0</v>
      </c>
      <c r="G652" s="4">
        <v>0</v>
      </c>
      <c r="H652" s="4">
        <v>1</v>
      </c>
      <c r="I652" s="4" t="s">
        <v>1</v>
      </c>
      <c r="K6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0.41544049069199523</v>
      </c>
    </row>
    <row r="653" spans="1:11" x14ac:dyDescent="0.3">
      <c r="A653" s="4">
        <v>25</v>
      </c>
      <c r="B653" s="4">
        <v>750000</v>
      </c>
      <c r="C653" s="4">
        <v>5</v>
      </c>
      <c r="D653" s="4">
        <v>1</v>
      </c>
      <c r="E653" s="4">
        <v>1</v>
      </c>
      <c r="F653" s="4">
        <v>1</v>
      </c>
      <c r="G653" s="4">
        <v>1</v>
      </c>
      <c r="H653" s="4">
        <v>0</v>
      </c>
      <c r="I653" s="4" t="s">
        <v>1</v>
      </c>
      <c r="K6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0.20561404606831502</v>
      </c>
    </row>
    <row r="654" spans="1:11" x14ac:dyDescent="0.3">
      <c r="A654" s="4">
        <v>28</v>
      </c>
      <c r="B654" s="4">
        <v>900000</v>
      </c>
      <c r="C654" s="4">
        <v>3</v>
      </c>
      <c r="D654" s="4">
        <v>0</v>
      </c>
      <c r="E654" s="4">
        <v>1</v>
      </c>
      <c r="F654" s="4">
        <v>0</v>
      </c>
      <c r="G654" s="4">
        <v>0</v>
      </c>
      <c r="H654" s="4">
        <v>0</v>
      </c>
      <c r="I654" s="4" t="s">
        <v>1</v>
      </c>
      <c r="K6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0.17266541296375887</v>
      </c>
    </row>
    <row r="655" spans="1:11" x14ac:dyDescent="0.3">
      <c r="A655" s="4">
        <v>28</v>
      </c>
      <c r="B655" s="4">
        <v>1250000</v>
      </c>
      <c r="C655" s="4">
        <v>4</v>
      </c>
      <c r="D655" s="4">
        <v>0</v>
      </c>
      <c r="E655" s="4">
        <v>1</v>
      </c>
      <c r="F655" s="4">
        <v>0</v>
      </c>
      <c r="G655" s="4">
        <v>0</v>
      </c>
      <c r="H655" s="4">
        <v>0</v>
      </c>
      <c r="I655" s="4" t="s">
        <v>1</v>
      </c>
      <c r="K6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0.29707298049127107</v>
      </c>
    </row>
    <row r="656" spans="1:11" x14ac:dyDescent="0.3">
      <c r="A656" s="4">
        <v>28</v>
      </c>
      <c r="B656" s="4">
        <v>1450000</v>
      </c>
      <c r="C656" s="4">
        <v>4</v>
      </c>
      <c r="D656" s="4">
        <v>0</v>
      </c>
      <c r="E656" s="4">
        <v>1</v>
      </c>
      <c r="F656" s="4">
        <v>0</v>
      </c>
      <c r="G656" s="4">
        <v>1</v>
      </c>
      <c r="H656" s="4">
        <v>1</v>
      </c>
      <c r="I656" s="4" t="s">
        <v>1</v>
      </c>
      <c r="K6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0.79987557959630862</v>
      </c>
    </row>
    <row r="657" spans="1:11" x14ac:dyDescent="0.3">
      <c r="A657" s="4">
        <v>34</v>
      </c>
      <c r="B657" s="4">
        <v>1500000</v>
      </c>
      <c r="C657" s="4">
        <v>5</v>
      </c>
      <c r="D657" s="4">
        <v>0</v>
      </c>
      <c r="E657" s="4">
        <v>1</v>
      </c>
      <c r="F657" s="4">
        <v>0</v>
      </c>
      <c r="G657" s="4">
        <v>1</v>
      </c>
      <c r="H657" s="4">
        <v>1</v>
      </c>
      <c r="I657" s="4" t="s">
        <v>1</v>
      </c>
      <c r="K6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0.91420467270597028</v>
      </c>
    </row>
    <row r="658" spans="1:11" x14ac:dyDescent="0.3">
      <c r="A658" s="4">
        <v>28</v>
      </c>
      <c r="B658" s="4">
        <v>700000</v>
      </c>
      <c r="C658" s="4">
        <v>4</v>
      </c>
      <c r="D658" s="4">
        <v>0</v>
      </c>
      <c r="E658" s="4">
        <v>1</v>
      </c>
      <c r="F658" s="4">
        <v>1</v>
      </c>
      <c r="G658" s="4">
        <v>0</v>
      </c>
      <c r="H658" s="4">
        <v>0</v>
      </c>
      <c r="I658" s="4" t="s">
        <v>1</v>
      </c>
      <c r="K6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0.14355417933137041</v>
      </c>
    </row>
    <row r="659" spans="1:11" x14ac:dyDescent="0.3">
      <c r="A659" s="4">
        <v>34</v>
      </c>
      <c r="B659" s="4">
        <v>1000000</v>
      </c>
      <c r="C659" s="4">
        <v>3</v>
      </c>
      <c r="D659" s="4">
        <v>0</v>
      </c>
      <c r="E659" s="4">
        <v>1</v>
      </c>
      <c r="F659" s="4">
        <v>0</v>
      </c>
      <c r="G659" s="4">
        <v>0</v>
      </c>
      <c r="H659" s="4">
        <v>0</v>
      </c>
      <c r="I659" s="4" t="s">
        <v>1</v>
      </c>
      <c r="K6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0.28503479588010472</v>
      </c>
    </row>
    <row r="660" spans="1:11" x14ac:dyDescent="0.3">
      <c r="A660" s="4">
        <v>25</v>
      </c>
      <c r="B660" s="4">
        <v>1400000</v>
      </c>
      <c r="C660" s="4">
        <v>3</v>
      </c>
      <c r="D660" s="4">
        <v>0</v>
      </c>
      <c r="E660" s="4">
        <v>1</v>
      </c>
      <c r="F660" s="4">
        <v>0</v>
      </c>
      <c r="G660" s="4">
        <v>0</v>
      </c>
      <c r="H660" s="4">
        <v>1</v>
      </c>
      <c r="I660" s="4" t="s">
        <v>1</v>
      </c>
      <c r="K6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0.63523827656831577</v>
      </c>
    </row>
    <row r="661" spans="1:11" x14ac:dyDescent="0.3">
      <c r="A661" s="4">
        <v>26</v>
      </c>
      <c r="B661" s="4">
        <v>1500000</v>
      </c>
      <c r="C661" s="4">
        <v>5</v>
      </c>
      <c r="D661" s="4">
        <v>0</v>
      </c>
      <c r="E661" s="4">
        <v>1</v>
      </c>
      <c r="F661" s="4">
        <v>1</v>
      </c>
      <c r="G661" s="4">
        <v>1</v>
      </c>
      <c r="H661" s="4">
        <v>1</v>
      </c>
      <c r="I661" s="4" t="s">
        <v>1</v>
      </c>
      <c r="K6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0.82004178393686078</v>
      </c>
    </row>
    <row r="662" spans="1:11" x14ac:dyDescent="0.3">
      <c r="A662" s="4">
        <v>25</v>
      </c>
      <c r="B662" s="4">
        <v>1700000</v>
      </c>
      <c r="C662" s="4">
        <v>3</v>
      </c>
      <c r="D662" s="4">
        <v>0</v>
      </c>
      <c r="E662" s="4">
        <v>1</v>
      </c>
      <c r="F662" s="4">
        <v>0</v>
      </c>
      <c r="G662" s="4">
        <v>1</v>
      </c>
      <c r="H662" s="4">
        <v>0</v>
      </c>
      <c r="I662" s="4" t="s">
        <v>1</v>
      </c>
      <c r="K6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0.46786933755048282</v>
      </c>
    </row>
    <row r="663" spans="1:11" x14ac:dyDescent="0.3">
      <c r="A663" s="4">
        <v>28</v>
      </c>
      <c r="B663" s="4">
        <v>700000</v>
      </c>
      <c r="C663" s="4">
        <v>2</v>
      </c>
      <c r="D663" s="4">
        <v>0</v>
      </c>
      <c r="E663" s="4">
        <v>1</v>
      </c>
      <c r="F663" s="4">
        <v>1</v>
      </c>
      <c r="G663" s="4">
        <v>0</v>
      </c>
      <c r="H663" s="4">
        <v>0</v>
      </c>
      <c r="I663" s="4" t="s">
        <v>1</v>
      </c>
      <c r="K6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0.10902279461118985</v>
      </c>
    </row>
    <row r="664" spans="1:11" x14ac:dyDescent="0.3">
      <c r="A664" s="4">
        <v>29</v>
      </c>
      <c r="B664" s="4">
        <v>1100000</v>
      </c>
      <c r="C664" s="4">
        <v>4</v>
      </c>
      <c r="D664" s="4">
        <v>0</v>
      </c>
      <c r="E664" s="4">
        <v>1</v>
      </c>
      <c r="F664" s="4">
        <v>0</v>
      </c>
      <c r="G664" s="4">
        <v>0</v>
      </c>
      <c r="H664" s="4">
        <v>0</v>
      </c>
      <c r="I664" s="4" t="s">
        <v>1</v>
      </c>
      <c r="K6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0.26478127042141353</v>
      </c>
    </row>
    <row r="665" spans="1:11" x14ac:dyDescent="0.3">
      <c r="A665" s="4">
        <v>28</v>
      </c>
      <c r="B665" s="4">
        <v>1300000</v>
      </c>
      <c r="C665" s="4">
        <v>3</v>
      </c>
      <c r="D665" s="4">
        <v>0</v>
      </c>
      <c r="E665" s="4">
        <v>1</v>
      </c>
      <c r="F665" s="4">
        <v>0</v>
      </c>
      <c r="G665" s="4">
        <v>0</v>
      </c>
      <c r="H665" s="4">
        <v>0</v>
      </c>
      <c r="I665" s="4" t="s">
        <v>1</v>
      </c>
      <c r="K6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0.29511327029795525</v>
      </c>
    </row>
    <row r="666" spans="1:11" x14ac:dyDescent="0.3">
      <c r="A666" s="4">
        <v>33</v>
      </c>
      <c r="B666" s="4">
        <v>800000</v>
      </c>
      <c r="C666" s="4">
        <v>4</v>
      </c>
      <c r="D666" s="4">
        <v>1</v>
      </c>
      <c r="E666" s="4">
        <v>1</v>
      </c>
      <c r="F666" s="4">
        <v>0</v>
      </c>
      <c r="G666" s="4">
        <v>0</v>
      </c>
      <c r="H666" s="4">
        <v>0</v>
      </c>
      <c r="I666" s="4" t="s">
        <v>1</v>
      </c>
      <c r="K6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0.20663030543437927</v>
      </c>
    </row>
    <row r="667" spans="1:11" x14ac:dyDescent="0.3">
      <c r="A667" s="4">
        <v>26</v>
      </c>
      <c r="B667" s="4">
        <v>1400000</v>
      </c>
      <c r="C667" s="4">
        <v>3</v>
      </c>
      <c r="D667" s="4">
        <v>0</v>
      </c>
      <c r="E667" s="4">
        <v>1</v>
      </c>
      <c r="F667" s="4">
        <v>0</v>
      </c>
      <c r="G667" s="4">
        <v>0</v>
      </c>
      <c r="H667" s="4">
        <v>1</v>
      </c>
      <c r="I667" s="4" t="s">
        <v>1</v>
      </c>
      <c r="K6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0.64886451299878201</v>
      </c>
    </row>
    <row r="668" spans="1:11" x14ac:dyDescent="0.3">
      <c r="A668" s="4">
        <v>33</v>
      </c>
      <c r="B668" s="4">
        <v>700000</v>
      </c>
      <c r="C668" s="4">
        <v>3</v>
      </c>
      <c r="D668" s="4">
        <v>1</v>
      </c>
      <c r="E668" s="4">
        <v>1</v>
      </c>
      <c r="F668" s="4">
        <v>1</v>
      </c>
      <c r="G668" s="4">
        <v>0</v>
      </c>
      <c r="H668" s="4">
        <v>0</v>
      </c>
      <c r="I668" s="4" t="s">
        <v>1</v>
      </c>
      <c r="K6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0.17359965141535935</v>
      </c>
    </row>
    <row r="669" spans="1:11" x14ac:dyDescent="0.3">
      <c r="A669" s="4">
        <v>28</v>
      </c>
      <c r="B669" s="4">
        <v>1100000</v>
      </c>
      <c r="C669" s="4">
        <v>4</v>
      </c>
      <c r="D669" s="4">
        <v>0</v>
      </c>
      <c r="E669" s="4">
        <v>1</v>
      </c>
      <c r="F669" s="4">
        <v>0</v>
      </c>
      <c r="G669" s="4">
        <v>0</v>
      </c>
      <c r="H669" s="4">
        <v>0</v>
      </c>
      <c r="I669" s="4" t="s">
        <v>1</v>
      </c>
      <c r="K6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0.25115503399094741</v>
      </c>
    </row>
    <row r="670" spans="1:11" x14ac:dyDescent="0.3">
      <c r="A670" s="4">
        <v>31</v>
      </c>
      <c r="B670" s="4">
        <v>400000</v>
      </c>
      <c r="C670" s="4">
        <v>5</v>
      </c>
      <c r="D670" s="4">
        <v>1</v>
      </c>
      <c r="E670" s="4">
        <v>1</v>
      </c>
      <c r="F670" s="4">
        <v>0</v>
      </c>
      <c r="G670" s="4">
        <v>0</v>
      </c>
      <c r="H670" s="4">
        <v>0</v>
      </c>
      <c r="I670" s="4" t="s">
        <v>1</v>
      </c>
      <c r="K6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7.4195667599340945E-2</v>
      </c>
    </row>
    <row r="671" spans="1:11" x14ac:dyDescent="0.3">
      <c r="A671" s="4">
        <v>33</v>
      </c>
      <c r="B671" s="4">
        <v>1200000</v>
      </c>
      <c r="C671" s="4">
        <v>2</v>
      </c>
      <c r="D671" s="4">
        <v>0</v>
      </c>
      <c r="E671" s="4">
        <v>1</v>
      </c>
      <c r="F671" s="4">
        <v>0</v>
      </c>
      <c r="G671" s="4">
        <v>0</v>
      </c>
      <c r="H671" s="4">
        <v>0</v>
      </c>
      <c r="I671" s="4" t="s">
        <v>1</v>
      </c>
      <c r="K6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0.3153667957566465</v>
      </c>
    </row>
    <row r="672" spans="1:11" x14ac:dyDescent="0.3">
      <c r="A672" s="4">
        <v>26</v>
      </c>
      <c r="B672" s="4">
        <v>1400000</v>
      </c>
      <c r="C672" s="4">
        <v>9</v>
      </c>
      <c r="D672" s="4">
        <v>0</v>
      </c>
      <c r="E672" s="4">
        <v>1</v>
      </c>
      <c r="F672" s="4">
        <v>1</v>
      </c>
      <c r="G672" s="4">
        <v>0</v>
      </c>
      <c r="H672" s="4">
        <v>1</v>
      </c>
      <c r="I672" s="4" t="s">
        <v>1</v>
      </c>
      <c r="K6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0.76730566983394333</v>
      </c>
    </row>
    <row r="673" spans="1:11" x14ac:dyDescent="0.3">
      <c r="A673" s="4">
        <v>30</v>
      </c>
      <c r="B673" s="4">
        <v>650000</v>
      </c>
      <c r="C673" s="4">
        <v>6</v>
      </c>
      <c r="D673" s="4">
        <v>0</v>
      </c>
      <c r="E673" s="4">
        <v>0</v>
      </c>
      <c r="F673" s="4">
        <v>0</v>
      </c>
      <c r="G673" s="4">
        <v>1</v>
      </c>
      <c r="H673" s="4">
        <v>0</v>
      </c>
      <c r="I673" s="4" t="s">
        <v>1</v>
      </c>
      <c r="K6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0.34721283076947396</v>
      </c>
    </row>
    <row r="674" spans="1:11" x14ac:dyDescent="0.3">
      <c r="A674" s="4">
        <v>30</v>
      </c>
      <c r="B674" s="4">
        <v>550000</v>
      </c>
      <c r="C674" s="4">
        <v>3</v>
      </c>
      <c r="D674" s="4">
        <v>0</v>
      </c>
      <c r="E674" s="4">
        <v>0</v>
      </c>
      <c r="F674" s="4">
        <v>0</v>
      </c>
      <c r="G674" s="4">
        <v>1</v>
      </c>
      <c r="H674" s="4">
        <v>1</v>
      </c>
      <c r="I674" s="4" t="s">
        <v>1</v>
      </c>
      <c r="K6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0.61519554058386383</v>
      </c>
    </row>
    <row r="675" spans="1:11" x14ac:dyDescent="0.3">
      <c r="A675" s="4">
        <v>30</v>
      </c>
      <c r="B675" s="4">
        <v>550000</v>
      </c>
      <c r="C675" s="4">
        <v>7</v>
      </c>
      <c r="D675" s="4">
        <v>0</v>
      </c>
      <c r="E675" s="4">
        <v>0</v>
      </c>
      <c r="F675" s="4">
        <v>0</v>
      </c>
      <c r="G675" s="4">
        <v>0</v>
      </c>
      <c r="H675" s="4">
        <v>0</v>
      </c>
      <c r="I675" s="4" t="s">
        <v>1</v>
      </c>
      <c r="K6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0.24267963958628555</v>
      </c>
    </row>
    <row r="676" spans="1:11" x14ac:dyDescent="0.3">
      <c r="A676" s="4">
        <v>26</v>
      </c>
      <c r="B676" s="4">
        <v>1500000</v>
      </c>
      <c r="C676" s="4">
        <v>4</v>
      </c>
      <c r="D676" s="4">
        <v>0</v>
      </c>
      <c r="E676" s="4">
        <v>1</v>
      </c>
      <c r="F676" s="4">
        <v>0</v>
      </c>
      <c r="G676" s="4">
        <v>1</v>
      </c>
      <c r="H676" s="4">
        <v>1</v>
      </c>
      <c r="I676" s="4" t="s">
        <v>1</v>
      </c>
      <c r="K6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0.78792908890215108</v>
      </c>
    </row>
    <row r="677" spans="1:11" x14ac:dyDescent="0.3">
      <c r="A677" s="4">
        <v>32</v>
      </c>
      <c r="B677" s="4">
        <v>850000</v>
      </c>
      <c r="C677" s="4">
        <v>9</v>
      </c>
      <c r="D677" s="4">
        <v>1</v>
      </c>
      <c r="E677" s="4">
        <v>1</v>
      </c>
      <c r="F677" s="4">
        <v>0</v>
      </c>
      <c r="G677" s="4">
        <v>1</v>
      </c>
      <c r="H677" s="4">
        <v>0</v>
      </c>
      <c r="I677" s="4" t="s">
        <v>1</v>
      </c>
      <c r="K6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0.38582543218086879</v>
      </c>
    </row>
    <row r="678" spans="1:11" x14ac:dyDescent="0.3">
      <c r="A678" s="4">
        <v>34</v>
      </c>
      <c r="B678" s="4">
        <v>1300000</v>
      </c>
      <c r="C678" s="4">
        <v>2</v>
      </c>
      <c r="D678" s="4">
        <v>0</v>
      </c>
      <c r="E678" s="4">
        <v>1</v>
      </c>
      <c r="F678" s="4">
        <v>0</v>
      </c>
      <c r="G678" s="4">
        <v>0</v>
      </c>
      <c r="H678" s="4">
        <v>0</v>
      </c>
      <c r="I678" s="4" t="s">
        <v>1</v>
      </c>
      <c r="K6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0.35960499652066175</v>
      </c>
    </row>
    <row r="679" spans="1:11" x14ac:dyDescent="0.3">
      <c r="A679" s="4">
        <v>26</v>
      </c>
      <c r="B679" s="4">
        <v>1400000</v>
      </c>
      <c r="C679" s="4">
        <v>4</v>
      </c>
      <c r="D679" s="4">
        <v>0</v>
      </c>
      <c r="E679" s="4">
        <v>1</v>
      </c>
      <c r="F679" s="4">
        <v>0</v>
      </c>
      <c r="G679" s="4">
        <v>0</v>
      </c>
      <c r="H679" s="4">
        <v>1</v>
      </c>
      <c r="I679" s="4" t="s">
        <v>1</v>
      </c>
      <c r="K6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0.66613020535887235</v>
      </c>
    </row>
    <row r="680" spans="1:11" x14ac:dyDescent="0.3">
      <c r="A680" s="4">
        <v>28</v>
      </c>
      <c r="B680" s="4">
        <v>700000</v>
      </c>
      <c r="C680" s="4">
        <v>2</v>
      </c>
      <c r="D680" s="4">
        <v>0</v>
      </c>
      <c r="E680" s="4">
        <v>1</v>
      </c>
      <c r="F680" s="4">
        <v>1</v>
      </c>
      <c r="G680" s="4">
        <v>0</v>
      </c>
      <c r="H680" s="4">
        <v>0</v>
      </c>
      <c r="I680" s="4" t="s">
        <v>1</v>
      </c>
      <c r="K6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0.10902279461118985</v>
      </c>
    </row>
    <row r="681" spans="1:11" x14ac:dyDescent="0.3">
      <c r="A681" s="4">
        <v>28</v>
      </c>
      <c r="B681" s="4">
        <v>600000</v>
      </c>
      <c r="C681" s="4">
        <v>7</v>
      </c>
      <c r="D681" s="4">
        <v>1</v>
      </c>
      <c r="E681" s="4">
        <v>1</v>
      </c>
      <c r="F681" s="4">
        <v>0</v>
      </c>
      <c r="G681" s="4">
        <v>0</v>
      </c>
      <c r="H681" s="4">
        <v>0</v>
      </c>
      <c r="I681" s="4" t="s">
        <v>1</v>
      </c>
      <c r="K6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0.12907227169522134</v>
      </c>
    </row>
    <row r="682" spans="1:11" x14ac:dyDescent="0.3">
      <c r="A682" s="4">
        <v>29</v>
      </c>
      <c r="B682" s="4">
        <v>350000</v>
      </c>
      <c r="C682" s="4">
        <v>6</v>
      </c>
      <c r="D682" s="4">
        <v>0</v>
      </c>
      <c r="E682" s="4">
        <v>1</v>
      </c>
      <c r="F682" s="4">
        <v>1</v>
      </c>
      <c r="G682" s="4">
        <v>0</v>
      </c>
      <c r="H682" s="4">
        <v>0</v>
      </c>
      <c r="I682" s="4" t="s">
        <v>1</v>
      </c>
      <c r="K6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8.4569925314595285E-2</v>
      </c>
    </row>
    <row r="683" spans="1:11" x14ac:dyDescent="0.3">
      <c r="A683" s="4">
        <v>34</v>
      </c>
      <c r="B683" s="4">
        <v>750000</v>
      </c>
      <c r="C683" s="4">
        <v>3</v>
      </c>
      <c r="D683" s="4">
        <v>0</v>
      </c>
      <c r="E683" s="4">
        <v>0</v>
      </c>
      <c r="F683" s="4">
        <v>0</v>
      </c>
      <c r="G683" s="4">
        <v>1</v>
      </c>
      <c r="H683" s="4">
        <v>0</v>
      </c>
      <c r="I683" s="4" t="s">
        <v>1</v>
      </c>
      <c r="K6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0.38053266374461664</v>
      </c>
    </row>
    <row r="684" spans="1:11" x14ac:dyDescent="0.3">
      <c r="A684" s="4">
        <v>31</v>
      </c>
      <c r="B684" s="4">
        <v>1750000</v>
      </c>
      <c r="C684" s="4">
        <v>2</v>
      </c>
      <c r="D684" s="4">
        <v>1</v>
      </c>
      <c r="E684" s="4">
        <v>0</v>
      </c>
      <c r="F684" s="4">
        <v>0</v>
      </c>
      <c r="G684" s="4">
        <v>0</v>
      </c>
      <c r="H684" s="4">
        <v>0</v>
      </c>
      <c r="I684" s="4" t="s">
        <v>1</v>
      </c>
      <c r="K6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0.51650096851063798</v>
      </c>
    </row>
    <row r="685" spans="1:11" x14ac:dyDescent="0.3">
      <c r="A685" s="4">
        <v>27</v>
      </c>
      <c r="B685" s="4">
        <v>850000</v>
      </c>
      <c r="C685" s="4">
        <v>5</v>
      </c>
      <c r="D685" s="4">
        <v>1</v>
      </c>
      <c r="E685" s="4">
        <v>1</v>
      </c>
      <c r="F685" s="4">
        <v>0</v>
      </c>
      <c r="G685" s="4">
        <v>0</v>
      </c>
      <c r="H685" s="4">
        <v>0</v>
      </c>
      <c r="I685" s="4" t="s">
        <v>1</v>
      </c>
      <c r="K6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0.15744456137844737</v>
      </c>
    </row>
    <row r="686" spans="1:11" x14ac:dyDescent="0.3">
      <c r="A686" s="4">
        <v>29</v>
      </c>
      <c r="B686" s="4">
        <v>1350000</v>
      </c>
      <c r="C686" s="4">
        <v>6</v>
      </c>
      <c r="D686" s="4">
        <v>0</v>
      </c>
      <c r="E686" s="4">
        <v>1</v>
      </c>
      <c r="F686" s="4">
        <v>0</v>
      </c>
      <c r="G686" s="4">
        <v>0</v>
      </c>
      <c r="H686" s="4">
        <v>1</v>
      </c>
      <c r="I686" s="4" t="s">
        <v>1</v>
      </c>
      <c r="K6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0.7262343172036767</v>
      </c>
    </row>
    <row r="687" spans="1:11" x14ac:dyDescent="0.3">
      <c r="A687" s="4">
        <v>34</v>
      </c>
      <c r="B687" s="4">
        <v>750000</v>
      </c>
      <c r="C687" s="4">
        <v>4</v>
      </c>
      <c r="D687" s="4">
        <v>0</v>
      </c>
      <c r="E687" s="4">
        <v>0</v>
      </c>
      <c r="F687" s="4">
        <v>0</v>
      </c>
      <c r="G687" s="4">
        <v>1</v>
      </c>
      <c r="H687" s="4">
        <v>0</v>
      </c>
      <c r="I687" s="4" t="s">
        <v>1</v>
      </c>
      <c r="K6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0.39779835610470693</v>
      </c>
    </row>
    <row r="688" spans="1:11" x14ac:dyDescent="0.3">
      <c r="A688" s="4">
        <v>28</v>
      </c>
      <c r="B688" s="4">
        <v>800000</v>
      </c>
      <c r="C688" s="4">
        <v>6</v>
      </c>
      <c r="D688" s="4">
        <v>0</v>
      </c>
      <c r="E688" s="4">
        <v>1</v>
      </c>
      <c r="F688" s="4">
        <v>0</v>
      </c>
      <c r="G688" s="4">
        <v>0</v>
      </c>
      <c r="H688" s="4">
        <v>0</v>
      </c>
      <c r="I688" s="4" t="s">
        <v>1</v>
      </c>
      <c r="K6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0.19385052571048067</v>
      </c>
    </row>
    <row r="689" spans="1:11" x14ac:dyDescent="0.3">
      <c r="A689" s="4">
        <v>28</v>
      </c>
      <c r="B689" s="4">
        <v>1200000</v>
      </c>
      <c r="C689" s="4">
        <v>4</v>
      </c>
      <c r="D689" s="4">
        <v>1</v>
      </c>
      <c r="E689" s="4">
        <v>1</v>
      </c>
      <c r="F689" s="4">
        <v>0</v>
      </c>
      <c r="G689" s="4">
        <v>0</v>
      </c>
      <c r="H689" s="4">
        <v>0</v>
      </c>
      <c r="I689" s="4" t="s">
        <v>1</v>
      </c>
      <c r="K6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0.26094698061624505</v>
      </c>
    </row>
    <row r="690" spans="1:11" x14ac:dyDescent="0.3">
      <c r="A690" s="4">
        <v>33</v>
      </c>
      <c r="B690" s="4">
        <v>550000</v>
      </c>
      <c r="C690" s="4">
        <v>5</v>
      </c>
      <c r="D690" s="4">
        <v>0</v>
      </c>
      <c r="E690" s="4">
        <v>1</v>
      </c>
      <c r="F690" s="4">
        <v>1</v>
      </c>
      <c r="G690" s="4">
        <v>0</v>
      </c>
      <c r="H690" s="4">
        <v>0</v>
      </c>
      <c r="I690" s="4" t="s">
        <v>1</v>
      </c>
      <c r="K6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0.1830331073434677</v>
      </c>
    </row>
    <row r="691" spans="1:11" x14ac:dyDescent="0.3">
      <c r="A691" s="4">
        <v>28</v>
      </c>
      <c r="B691" s="4">
        <v>650000</v>
      </c>
      <c r="C691" s="4">
        <v>4</v>
      </c>
      <c r="D691" s="4">
        <v>0</v>
      </c>
      <c r="E691" s="4">
        <v>1</v>
      </c>
      <c r="F691" s="4">
        <v>0</v>
      </c>
      <c r="G691" s="4">
        <v>1</v>
      </c>
      <c r="H691" s="4">
        <v>0</v>
      </c>
      <c r="I691" s="4" t="s">
        <v>1</v>
      </c>
      <c r="K6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0.204588113699706</v>
      </c>
    </row>
    <row r="692" spans="1:11" x14ac:dyDescent="0.3">
      <c r="A692" s="4">
        <v>28</v>
      </c>
      <c r="B692" s="4">
        <v>300000</v>
      </c>
      <c r="C692" s="4">
        <v>6</v>
      </c>
      <c r="D692" s="4">
        <v>1</v>
      </c>
      <c r="E692" s="4">
        <v>1</v>
      </c>
      <c r="F692" s="4">
        <v>1</v>
      </c>
      <c r="G692" s="4">
        <v>0</v>
      </c>
      <c r="H692" s="4">
        <v>0</v>
      </c>
      <c r="I692" s="4" t="s">
        <v>1</v>
      </c>
      <c r="K6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3.4817689009103168E-2</v>
      </c>
    </row>
    <row r="693" spans="1:11" x14ac:dyDescent="0.3">
      <c r="A693" s="4">
        <v>28</v>
      </c>
      <c r="B693" s="4">
        <v>1450000</v>
      </c>
      <c r="C693" s="4">
        <v>5</v>
      </c>
      <c r="D693" s="4">
        <v>0</v>
      </c>
      <c r="E693" s="4">
        <v>1</v>
      </c>
      <c r="F693" s="4">
        <v>0</v>
      </c>
      <c r="G693" s="4">
        <v>1</v>
      </c>
      <c r="H693" s="4">
        <v>1</v>
      </c>
      <c r="I693" s="4" t="s">
        <v>1</v>
      </c>
      <c r="K6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0.81714127195639907</v>
      </c>
    </row>
    <row r="694" spans="1:11" x14ac:dyDescent="0.3">
      <c r="A694" s="4">
        <v>27</v>
      </c>
      <c r="B694" s="4">
        <v>750000</v>
      </c>
      <c r="C694" s="4">
        <v>3</v>
      </c>
      <c r="D694" s="4">
        <v>1</v>
      </c>
      <c r="E694" s="4">
        <v>1</v>
      </c>
      <c r="F694" s="4">
        <v>1</v>
      </c>
      <c r="G694" s="4">
        <v>0</v>
      </c>
      <c r="H694" s="4">
        <v>0</v>
      </c>
      <c r="I694" s="4" t="s">
        <v>1</v>
      </c>
      <c r="K6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0.10714821499933713</v>
      </c>
    </row>
    <row r="695" spans="1:11" x14ac:dyDescent="0.3">
      <c r="A695" s="4">
        <v>26</v>
      </c>
      <c r="B695" s="4">
        <v>1450000</v>
      </c>
      <c r="C695" s="4">
        <v>3</v>
      </c>
      <c r="D695" s="4">
        <v>1</v>
      </c>
      <c r="E695" s="4">
        <v>1</v>
      </c>
      <c r="F695" s="4">
        <v>0</v>
      </c>
      <c r="G695" s="4">
        <v>1</v>
      </c>
      <c r="H695" s="4">
        <v>1</v>
      </c>
      <c r="I695" s="4" t="s">
        <v>1</v>
      </c>
      <c r="K6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0.73453739666703477</v>
      </c>
    </row>
    <row r="696" spans="1:11" x14ac:dyDescent="0.3">
      <c r="A696" s="4">
        <v>34</v>
      </c>
      <c r="B696" s="4">
        <v>1300000</v>
      </c>
      <c r="C696" s="4">
        <v>2</v>
      </c>
      <c r="D696" s="4">
        <v>1</v>
      </c>
      <c r="E696" s="4">
        <v>1</v>
      </c>
      <c r="F696" s="4">
        <v>1</v>
      </c>
      <c r="G696" s="4">
        <v>0</v>
      </c>
      <c r="H696" s="4">
        <v>0</v>
      </c>
      <c r="I696" s="4" t="s">
        <v>1</v>
      </c>
      <c r="K6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0.35363198148702979</v>
      </c>
    </row>
    <row r="697" spans="1:11" x14ac:dyDescent="0.3">
      <c r="A697" s="4">
        <v>35</v>
      </c>
      <c r="B697" s="4">
        <v>800000</v>
      </c>
      <c r="C697" s="4">
        <v>3</v>
      </c>
      <c r="D697" s="4">
        <v>0</v>
      </c>
      <c r="E697" s="4">
        <v>0</v>
      </c>
      <c r="F697" s="4">
        <v>0</v>
      </c>
      <c r="G697" s="4">
        <v>1</v>
      </c>
      <c r="H697" s="4">
        <v>0</v>
      </c>
      <c r="I697" s="4" t="s">
        <v>1</v>
      </c>
      <c r="K6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0.40946488234185735</v>
      </c>
    </row>
    <row r="698" spans="1:11" x14ac:dyDescent="0.3">
      <c r="A698" s="4">
        <v>28</v>
      </c>
      <c r="B698" s="4">
        <v>500000</v>
      </c>
      <c r="C698" s="4">
        <v>5</v>
      </c>
      <c r="D698" s="4">
        <v>0</v>
      </c>
      <c r="E698" s="4">
        <v>1</v>
      </c>
      <c r="F698" s="4">
        <v>1</v>
      </c>
      <c r="G698" s="4">
        <v>0</v>
      </c>
      <c r="H698" s="4">
        <v>0</v>
      </c>
      <c r="I698" s="4" t="s">
        <v>1</v>
      </c>
      <c r="K6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9.9595943024362504E-2</v>
      </c>
    </row>
    <row r="699" spans="1:11" x14ac:dyDescent="0.3">
      <c r="A699" s="4">
        <v>25</v>
      </c>
      <c r="B699" s="4">
        <v>1400000</v>
      </c>
      <c r="C699" s="4">
        <v>4</v>
      </c>
      <c r="D699" s="4">
        <v>0</v>
      </c>
      <c r="E699" s="4">
        <v>1</v>
      </c>
      <c r="F699" s="4">
        <v>1</v>
      </c>
      <c r="G699" s="4">
        <v>0</v>
      </c>
      <c r="H699" s="4">
        <v>1</v>
      </c>
      <c r="I699" s="4" t="s">
        <v>1</v>
      </c>
      <c r="K6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0.66735097160302559</v>
      </c>
    </row>
    <row r="700" spans="1:11" x14ac:dyDescent="0.3">
      <c r="A700" s="4">
        <v>28</v>
      </c>
      <c r="B700" s="4">
        <v>1400000</v>
      </c>
      <c r="C700" s="4">
        <v>4</v>
      </c>
      <c r="D700" s="4">
        <v>0</v>
      </c>
      <c r="E700" s="4">
        <v>1</v>
      </c>
      <c r="F700" s="4">
        <v>0</v>
      </c>
      <c r="G700" s="4">
        <v>0</v>
      </c>
      <c r="H700" s="4">
        <v>1</v>
      </c>
      <c r="I700" s="4" t="s">
        <v>1</v>
      </c>
      <c r="K7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0.69338267821980459</v>
      </c>
    </row>
    <row r="701" spans="1:11" x14ac:dyDescent="0.3">
      <c r="A701" s="4">
        <v>25</v>
      </c>
      <c r="B701" s="4">
        <v>1400000</v>
      </c>
      <c r="C701" s="4">
        <v>2</v>
      </c>
      <c r="D701" s="4">
        <v>0</v>
      </c>
      <c r="E701" s="4">
        <v>1</v>
      </c>
      <c r="F701" s="4">
        <v>1</v>
      </c>
      <c r="G701" s="4">
        <v>0</v>
      </c>
      <c r="H701" s="4">
        <v>1</v>
      </c>
      <c r="I701" s="4" t="s">
        <v>1</v>
      </c>
      <c r="K7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0.63281958688284501</v>
      </c>
    </row>
    <row r="702" spans="1:11" x14ac:dyDescent="0.3">
      <c r="A702" s="4">
        <v>34</v>
      </c>
      <c r="B702" s="4">
        <v>1000000</v>
      </c>
      <c r="C702" s="4">
        <v>4</v>
      </c>
      <c r="D702" s="4">
        <v>0</v>
      </c>
      <c r="E702" s="4">
        <v>1</v>
      </c>
      <c r="F702" s="4">
        <v>0</v>
      </c>
      <c r="G702" s="4">
        <v>1</v>
      </c>
      <c r="H702" s="4">
        <v>0</v>
      </c>
      <c r="I702" s="4" t="s">
        <v>1</v>
      </c>
      <c r="K7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0.39348740744992466</v>
      </c>
    </row>
    <row r="703" spans="1:11" x14ac:dyDescent="0.3">
      <c r="A703" s="4">
        <v>27</v>
      </c>
      <c r="B703" s="4">
        <v>500000</v>
      </c>
      <c r="C703" s="4">
        <v>4</v>
      </c>
      <c r="D703" s="4">
        <v>1</v>
      </c>
      <c r="E703" s="4">
        <v>1</v>
      </c>
      <c r="F703" s="4">
        <v>0</v>
      </c>
      <c r="G703" s="4">
        <v>0</v>
      </c>
      <c r="H703" s="4">
        <v>0</v>
      </c>
      <c r="I703" s="4" t="s">
        <v>1</v>
      </c>
      <c r="K7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3.3036993850935212E-2</v>
      </c>
    </row>
    <row r="704" spans="1:11" x14ac:dyDescent="0.3">
      <c r="A704" s="4">
        <v>28</v>
      </c>
      <c r="B704" s="4">
        <v>500000</v>
      </c>
      <c r="C704" s="4">
        <v>4</v>
      </c>
      <c r="D704" s="4">
        <v>0</v>
      </c>
      <c r="E704" s="4">
        <v>1</v>
      </c>
      <c r="F704" s="4">
        <v>0</v>
      </c>
      <c r="G704" s="4">
        <v>0</v>
      </c>
      <c r="H704" s="4">
        <v>0</v>
      </c>
      <c r="I704" s="4" t="s">
        <v>1</v>
      </c>
      <c r="K7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6.7483247989652759E-2</v>
      </c>
    </row>
    <row r="705" spans="1:11" x14ac:dyDescent="0.3">
      <c r="A705" s="4">
        <v>30</v>
      </c>
      <c r="B705" s="4">
        <v>650000</v>
      </c>
      <c r="C705" s="4">
        <v>6</v>
      </c>
      <c r="D705" s="4">
        <v>0</v>
      </c>
      <c r="E705" s="4">
        <v>0</v>
      </c>
      <c r="F705" s="4">
        <v>1</v>
      </c>
      <c r="G705" s="4">
        <v>0</v>
      </c>
      <c r="H705" s="4">
        <v>0</v>
      </c>
      <c r="I705" s="4" t="s">
        <v>1</v>
      </c>
      <c r="K7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0.27087291423436383</v>
      </c>
    </row>
    <row r="706" spans="1:11" x14ac:dyDescent="0.3">
      <c r="A706" s="4">
        <v>27</v>
      </c>
      <c r="B706" s="4">
        <v>350000</v>
      </c>
      <c r="C706" s="4">
        <v>5</v>
      </c>
      <c r="D706" s="4">
        <v>0</v>
      </c>
      <c r="E706" s="4">
        <v>0</v>
      </c>
      <c r="F706" s="4">
        <v>1</v>
      </c>
      <c r="G706" s="4">
        <v>0</v>
      </c>
      <c r="H706" s="4">
        <v>0</v>
      </c>
      <c r="I706" s="4" t="s">
        <v>1</v>
      </c>
      <c r="K7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0.12089261958222777</v>
      </c>
    </row>
    <row r="707" spans="1:11" x14ac:dyDescent="0.3">
      <c r="A707" s="4">
        <v>25</v>
      </c>
      <c r="B707" s="4">
        <v>1150000</v>
      </c>
      <c r="C707" s="4">
        <v>6</v>
      </c>
      <c r="D707" s="4">
        <v>0</v>
      </c>
      <c r="E707" s="4">
        <v>0</v>
      </c>
      <c r="F707" s="4">
        <v>0</v>
      </c>
      <c r="G707" s="4">
        <v>0</v>
      </c>
      <c r="H707" s="4">
        <v>0</v>
      </c>
      <c r="I707" s="4" t="s">
        <v>1</v>
      </c>
      <c r="K7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0.34095455107515915</v>
      </c>
    </row>
    <row r="708" spans="1:11" x14ac:dyDescent="0.3">
      <c r="A708" s="4">
        <v>32</v>
      </c>
      <c r="B708" s="4">
        <v>900000</v>
      </c>
      <c r="C708" s="4">
        <v>5</v>
      </c>
      <c r="D708" s="4">
        <v>1</v>
      </c>
      <c r="E708" s="4">
        <v>1</v>
      </c>
      <c r="F708" s="4">
        <v>0</v>
      </c>
      <c r="G708" s="4">
        <v>0</v>
      </c>
      <c r="H708" s="4">
        <v>0</v>
      </c>
      <c r="I708" s="4" t="s">
        <v>1</v>
      </c>
      <c r="K7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0.24088172569755256</v>
      </c>
    </row>
    <row r="709" spans="1:11" x14ac:dyDescent="0.3">
      <c r="A709" s="4">
        <v>31</v>
      </c>
      <c r="B709" s="4">
        <v>1400000</v>
      </c>
      <c r="C709" s="4">
        <v>4</v>
      </c>
      <c r="D709" s="4">
        <v>0</v>
      </c>
      <c r="E709" s="4">
        <v>1</v>
      </c>
      <c r="F709" s="4">
        <v>1</v>
      </c>
      <c r="G709" s="4">
        <v>0</v>
      </c>
      <c r="H709" s="4">
        <v>1</v>
      </c>
      <c r="I709" s="4" t="s">
        <v>1</v>
      </c>
      <c r="K7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0.74910839018582243</v>
      </c>
    </row>
    <row r="710" spans="1:11" x14ac:dyDescent="0.3">
      <c r="A710" s="4">
        <v>27</v>
      </c>
      <c r="B710" s="4">
        <v>1050000</v>
      </c>
      <c r="C710" s="4">
        <v>2</v>
      </c>
      <c r="D710" s="4">
        <v>1</v>
      </c>
      <c r="E710" s="4">
        <v>1</v>
      </c>
      <c r="F710" s="4">
        <v>0</v>
      </c>
      <c r="G710" s="4">
        <v>0</v>
      </c>
      <c r="H710" s="4">
        <v>0</v>
      </c>
      <c r="I710" s="4" t="s">
        <v>1</v>
      </c>
      <c r="K7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0.16687141296527463</v>
      </c>
    </row>
    <row r="711" spans="1:11" x14ac:dyDescent="0.3">
      <c r="A711" s="4">
        <v>33</v>
      </c>
      <c r="B711" s="4">
        <v>1000000</v>
      </c>
      <c r="C711" s="4">
        <v>4</v>
      </c>
      <c r="D711" s="4">
        <v>1</v>
      </c>
      <c r="E711" s="4">
        <v>1</v>
      </c>
      <c r="F711" s="4">
        <v>0</v>
      </c>
      <c r="G711" s="4">
        <v>1</v>
      </c>
      <c r="H711" s="4">
        <v>1</v>
      </c>
      <c r="I711" s="4" t="s">
        <v>1</v>
      </c>
      <c r="K7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0.70943290453941699</v>
      </c>
    </row>
    <row r="712" spans="1:11" x14ac:dyDescent="0.3">
      <c r="A712" s="4">
        <v>30</v>
      </c>
      <c r="B712" s="4">
        <v>650000</v>
      </c>
      <c r="C712" s="4">
        <v>3</v>
      </c>
      <c r="D712" s="4">
        <v>0</v>
      </c>
      <c r="E712" s="4">
        <v>0</v>
      </c>
      <c r="F712" s="4">
        <v>1</v>
      </c>
      <c r="G712" s="4">
        <v>0</v>
      </c>
      <c r="H712" s="4">
        <v>0</v>
      </c>
      <c r="I712" s="4" t="s">
        <v>1</v>
      </c>
      <c r="K7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0.2190758371540929</v>
      </c>
    </row>
    <row r="713" spans="1:11" x14ac:dyDescent="0.3">
      <c r="A713" s="4">
        <v>35</v>
      </c>
      <c r="B713" s="4">
        <v>1100000</v>
      </c>
      <c r="C713" s="4">
        <v>2</v>
      </c>
      <c r="D713" s="4">
        <v>1</v>
      </c>
      <c r="E713" s="4">
        <v>1</v>
      </c>
      <c r="F713" s="4">
        <v>1</v>
      </c>
      <c r="G713" s="4">
        <v>0</v>
      </c>
      <c r="H713" s="4">
        <v>0</v>
      </c>
      <c r="I713" s="4" t="s">
        <v>1</v>
      </c>
      <c r="K7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0.30603428925039777</v>
      </c>
    </row>
    <row r="714" spans="1:11" x14ac:dyDescent="0.3">
      <c r="A714" s="4">
        <v>32</v>
      </c>
      <c r="B714" s="4">
        <v>350000</v>
      </c>
      <c r="C714" s="4">
        <v>5</v>
      </c>
      <c r="D714" s="4">
        <v>1</v>
      </c>
      <c r="E714" s="4">
        <v>1</v>
      </c>
      <c r="F714" s="4">
        <v>1</v>
      </c>
      <c r="G714" s="4">
        <v>0</v>
      </c>
      <c r="H714" s="4">
        <v>0</v>
      </c>
      <c r="I714" s="4" t="s">
        <v>1</v>
      </c>
      <c r="K7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8.7362924537651987E-2</v>
      </c>
    </row>
    <row r="715" spans="1:11" x14ac:dyDescent="0.3">
      <c r="A715" s="4">
        <v>28</v>
      </c>
      <c r="B715" s="4">
        <v>900000</v>
      </c>
      <c r="C715" s="4">
        <v>9</v>
      </c>
      <c r="D715" s="4">
        <v>0</v>
      </c>
      <c r="E715" s="4">
        <v>1</v>
      </c>
      <c r="F715" s="4">
        <v>1</v>
      </c>
      <c r="G715" s="4">
        <v>0</v>
      </c>
      <c r="H715" s="4">
        <v>1</v>
      </c>
      <c r="I715" s="4" t="s">
        <v>1</v>
      </c>
      <c r="K7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0.64149832102713</v>
      </c>
    </row>
    <row r="716" spans="1:11" x14ac:dyDescent="0.3">
      <c r="A716" s="4">
        <v>31</v>
      </c>
      <c r="B716" s="4">
        <v>1400000</v>
      </c>
      <c r="C716" s="4">
        <v>3</v>
      </c>
      <c r="D716" s="4">
        <v>0</v>
      </c>
      <c r="E716" s="4">
        <v>1</v>
      </c>
      <c r="F716" s="4">
        <v>0</v>
      </c>
      <c r="G716" s="4">
        <v>1</v>
      </c>
      <c r="H716" s="4">
        <v>1</v>
      </c>
      <c r="I716" s="4" t="s">
        <v>1</v>
      </c>
      <c r="K7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0.80818261436084227</v>
      </c>
    </row>
    <row r="717" spans="1:11" x14ac:dyDescent="0.3">
      <c r="A717" s="4">
        <v>25</v>
      </c>
      <c r="B717" s="4">
        <v>600000</v>
      </c>
      <c r="C717" s="4">
        <v>3</v>
      </c>
      <c r="D717" s="4">
        <v>0</v>
      </c>
      <c r="E717" s="4">
        <v>0</v>
      </c>
      <c r="F717" s="4">
        <v>1</v>
      </c>
      <c r="G717" s="4">
        <v>0</v>
      </c>
      <c r="H717" s="4">
        <v>0</v>
      </c>
      <c r="I717" s="4" t="s">
        <v>1</v>
      </c>
      <c r="K7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0.13563867283498762</v>
      </c>
    </row>
    <row r="718" spans="1:11" x14ac:dyDescent="0.3">
      <c r="A718" s="4">
        <v>29</v>
      </c>
      <c r="B718" s="4">
        <v>1050000</v>
      </c>
      <c r="C718" s="4">
        <v>6</v>
      </c>
      <c r="D718" s="4">
        <v>0</v>
      </c>
      <c r="E718" s="4">
        <v>1</v>
      </c>
      <c r="F718" s="4">
        <v>1</v>
      </c>
      <c r="G718" s="4">
        <v>1</v>
      </c>
      <c r="H718" s="4">
        <v>0</v>
      </c>
      <c r="I718" s="4" t="s">
        <v>1</v>
      </c>
      <c r="K7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0.39004059485916859</v>
      </c>
    </row>
    <row r="719" spans="1:11" x14ac:dyDescent="0.3">
      <c r="A719" s="4">
        <v>28</v>
      </c>
      <c r="B719" s="4">
        <v>300000</v>
      </c>
      <c r="C719" s="4">
        <v>3</v>
      </c>
      <c r="D719" s="4">
        <v>1</v>
      </c>
      <c r="E719" s="4">
        <v>1</v>
      </c>
      <c r="F719" s="4">
        <v>0</v>
      </c>
      <c r="G719" s="4">
        <v>0</v>
      </c>
      <c r="H719" s="4">
        <v>0</v>
      </c>
      <c r="I719" s="4" t="s">
        <v>1</v>
      </c>
      <c r="K7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-3.1826390745787178E-2</v>
      </c>
    </row>
    <row r="720" spans="1:11" x14ac:dyDescent="0.3">
      <c r="A720" s="4">
        <v>26</v>
      </c>
      <c r="B720" s="4">
        <v>600000</v>
      </c>
      <c r="C720" s="4">
        <v>4</v>
      </c>
      <c r="D720" s="4">
        <v>0</v>
      </c>
      <c r="E720" s="4">
        <v>1</v>
      </c>
      <c r="F720" s="4">
        <v>1</v>
      </c>
      <c r="G720" s="4">
        <v>0</v>
      </c>
      <c r="H720" s="4">
        <v>0</v>
      </c>
      <c r="I720" s="4" t="s">
        <v>1</v>
      </c>
      <c r="K7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8.5689742136889069E-2</v>
      </c>
    </row>
    <row r="721" spans="1:11" x14ac:dyDescent="0.3">
      <c r="A721" s="4">
        <v>28</v>
      </c>
      <c r="B721" s="4">
        <v>750000</v>
      </c>
      <c r="C721" s="4">
        <v>2</v>
      </c>
      <c r="D721" s="4">
        <v>0</v>
      </c>
      <c r="E721" s="4">
        <v>1</v>
      </c>
      <c r="F721" s="4">
        <v>0</v>
      </c>
      <c r="G721" s="4">
        <v>0</v>
      </c>
      <c r="H721" s="4">
        <v>0</v>
      </c>
      <c r="I721" s="4" t="s">
        <v>1</v>
      </c>
      <c r="K7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0.10948177410334493</v>
      </c>
    </row>
    <row r="722" spans="1:11" x14ac:dyDescent="0.3">
      <c r="A722" s="4">
        <v>34</v>
      </c>
      <c r="B722" s="4">
        <v>1000000</v>
      </c>
      <c r="C722" s="4">
        <v>6</v>
      </c>
      <c r="D722" s="4">
        <v>0</v>
      </c>
      <c r="E722" s="4">
        <v>1</v>
      </c>
      <c r="F722" s="4">
        <v>0</v>
      </c>
      <c r="G722" s="4">
        <v>0</v>
      </c>
      <c r="H722" s="4">
        <v>0</v>
      </c>
      <c r="I722" s="4" t="s">
        <v>1</v>
      </c>
      <c r="K7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0.33683187296037564</v>
      </c>
    </row>
    <row r="723" spans="1:11" x14ac:dyDescent="0.3">
      <c r="A723" s="4">
        <v>28</v>
      </c>
      <c r="B723" s="4">
        <v>600000</v>
      </c>
      <c r="C723" s="4">
        <v>8</v>
      </c>
      <c r="D723" s="4">
        <v>1</v>
      </c>
      <c r="E723" s="4">
        <v>1</v>
      </c>
      <c r="F723" s="4">
        <v>0</v>
      </c>
      <c r="G723" s="4">
        <v>0</v>
      </c>
      <c r="H723" s="4">
        <v>0</v>
      </c>
      <c r="I723" s="4" t="s">
        <v>1</v>
      </c>
      <c r="K7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0.14633796405531163</v>
      </c>
    </row>
    <row r="724" spans="1:11" x14ac:dyDescent="0.3">
      <c r="A724" s="4">
        <v>33</v>
      </c>
      <c r="B724" s="4">
        <v>1100000</v>
      </c>
      <c r="C724" s="4">
        <v>4</v>
      </c>
      <c r="D724" s="4">
        <v>1</v>
      </c>
      <c r="E724" s="4">
        <v>1</v>
      </c>
      <c r="F724" s="4">
        <v>0</v>
      </c>
      <c r="G724" s="4">
        <v>0</v>
      </c>
      <c r="H724" s="4">
        <v>0</v>
      </c>
      <c r="I724" s="4" t="s">
        <v>1</v>
      </c>
      <c r="K7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0.29846619843502659</v>
      </c>
    </row>
    <row r="725" spans="1:11" x14ac:dyDescent="0.3">
      <c r="A725" s="4">
        <v>31</v>
      </c>
      <c r="B725" s="4">
        <v>1250000</v>
      </c>
      <c r="C725" s="4">
        <v>4</v>
      </c>
      <c r="D725" s="4">
        <v>0</v>
      </c>
      <c r="E725" s="4">
        <v>1</v>
      </c>
      <c r="F725" s="4">
        <v>0</v>
      </c>
      <c r="G725" s="4">
        <v>0</v>
      </c>
      <c r="H725" s="4">
        <v>0</v>
      </c>
      <c r="I725" s="4" t="s">
        <v>1</v>
      </c>
      <c r="K7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0.33795168978266943</v>
      </c>
    </row>
    <row r="726" spans="1:11" x14ac:dyDescent="0.3">
      <c r="A726" s="4">
        <v>33</v>
      </c>
      <c r="B726" s="4">
        <v>700000</v>
      </c>
      <c r="C726" s="4">
        <v>7</v>
      </c>
      <c r="D726" s="4">
        <v>1</v>
      </c>
      <c r="E726" s="4">
        <v>1</v>
      </c>
      <c r="F726" s="4">
        <v>0</v>
      </c>
      <c r="G726" s="4">
        <v>0</v>
      </c>
      <c r="H726" s="4">
        <v>0</v>
      </c>
      <c r="I726" s="4" t="s">
        <v>1</v>
      </c>
      <c r="K7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0.22781541818110113</v>
      </c>
    </row>
    <row r="727" spans="1:11" x14ac:dyDescent="0.3">
      <c r="A727" s="4">
        <v>28</v>
      </c>
      <c r="B727" s="4">
        <v>1200000</v>
      </c>
      <c r="C727" s="4">
        <v>3</v>
      </c>
      <c r="D727" s="4">
        <v>0</v>
      </c>
      <c r="E727" s="4">
        <v>1</v>
      </c>
      <c r="F727" s="4">
        <v>0</v>
      </c>
      <c r="G727" s="4">
        <v>0</v>
      </c>
      <c r="H727" s="4">
        <v>0</v>
      </c>
      <c r="I727" s="4" t="s">
        <v>1</v>
      </c>
      <c r="K7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0.26450130596440613</v>
      </c>
    </row>
    <row r="728" spans="1:11" x14ac:dyDescent="0.3">
      <c r="A728" s="4">
        <v>28</v>
      </c>
      <c r="B728" s="4">
        <v>550000</v>
      </c>
      <c r="C728" s="4">
        <v>8</v>
      </c>
      <c r="D728" s="4">
        <v>0</v>
      </c>
      <c r="E728" s="4">
        <v>1</v>
      </c>
      <c r="F728" s="4">
        <v>0</v>
      </c>
      <c r="G728" s="4">
        <v>0</v>
      </c>
      <c r="H728" s="4">
        <v>0</v>
      </c>
      <c r="I728" s="4" t="s">
        <v>1</v>
      </c>
      <c r="K7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0.15185199959678852</v>
      </c>
    </row>
    <row r="729" spans="1:11" x14ac:dyDescent="0.3">
      <c r="A729" s="4">
        <v>29</v>
      </c>
      <c r="B729" s="4">
        <v>1200000</v>
      </c>
      <c r="C729" s="4">
        <v>3</v>
      </c>
      <c r="D729" s="4">
        <v>0</v>
      </c>
      <c r="E729" s="4">
        <v>1</v>
      </c>
      <c r="F729" s="4">
        <v>1</v>
      </c>
      <c r="G729" s="4">
        <v>0</v>
      </c>
      <c r="H729" s="4">
        <v>0</v>
      </c>
      <c r="I729" s="4" t="s">
        <v>1</v>
      </c>
      <c r="K7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0.29297454506949172</v>
      </c>
    </row>
    <row r="730" spans="1:11" x14ac:dyDescent="0.3">
      <c r="A730" s="4">
        <v>26</v>
      </c>
      <c r="B730" s="4">
        <v>500000</v>
      </c>
      <c r="C730" s="4">
        <v>4</v>
      </c>
      <c r="D730" s="4">
        <v>0</v>
      </c>
      <c r="E730" s="4">
        <v>1</v>
      </c>
      <c r="F730" s="4">
        <v>1</v>
      </c>
      <c r="G730" s="4">
        <v>0</v>
      </c>
      <c r="H730" s="4">
        <v>0</v>
      </c>
      <c r="I730" s="4" t="s">
        <v>1</v>
      </c>
      <c r="K7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5.5077777803339965E-2</v>
      </c>
    </row>
    <row r="731" spans="1:11" x14ac:dyDescent="0.3">
      <c r="A731" s="4">
        <v>28</v>
      </c>
      <c r="B731" s="4">
        <v>1150000</v>
      </c>
      <c r="C731" s="4">
        <v>6</v>
      </c>
      <c r="D731" s="4">
        <v>0</v>
      </c>
      <c r="E731" s="4">
        <v>1</v>
      </c>
      <c r="F731" s="4">
        <v>0</v>
      </c>
      <c r="G731" s="4">
        <v>0</v>
      </c>
      <c r="H731" s="4">
        <v>0</v>
      </c>
      <c r="I731" s="4" t="s">
        <v>1</v>
      </c>
      <c r="K7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0.30099240087790252</v>
      </c>
    </row>
    <row r="732" spans="1:11" x14ac:dyDescent="0.3">
      <c r="A732" s="4">
        <v>34</v>
      </c>
      <c r="B732" s="4">
        <v>700000</v>
      </c>
      <c r="C732" s="4">
        <v>3</v>
      </c>
      <c r="D732" s="4">
        <v>0</v>
      </c>
      <c r="E732" s="4">
        <v>1</v>
      </c>
      <c r="F732" s="4">
        <v>0</v>
      </c>
      <c r="G732" s="4">
        <v>0</v>
      </c>
      <c r="H732" s="4">
        <v>0</v>
      </c>
      <c r="I732" s="4" t="s">
        <v>1</v>
      </c>
      <c r="K7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0.19319890287945746</v>
      </c>
    </row>
    <row r="733" spans="1:11" x14ac:dyDescent="0.3">
      <c r="A733" s="4">
        <v>31</v>
      </c>
      <c r="B733" s="4">
        <v>1300000</v>
      </c>
      <c r="C733" s="4">
        <v>3</v>
      </c>
      <c r="D733" s="4">
        <v>1</v>
      </c>
      <c r="E733" s="4">
        <v>1</v>
      </c>
      <c r="F733" s="4">
        <v>1</v>
      </c>
      <c r="G733" s="4">
        <v>0</v>
      </c>
      <c r="H733" s="4">
        <v>0</v>
      </c>
      <c r="I733" s="4" t="s">
        <v>1</v>
      </c>
      <c r="K7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0.33001896455572172</v>
      </c>
    </row>
    <row r="734" spans="1:11" x14ac:dyDescent="0.3">
      <c r="A734" s="4">
        <v>26</v>
      </c>
      <c r="B734" s="4">
        <v>600000</v>
      </c>
      <c r="C734" s="4">
        <v>6</v>
      </c>
      <c r="D734" s="4">
        <v>0</v>
      </c>
      <c r="E734" s="4">
        <v>1</v>
      </c>
      <c r="F734" s="4">
        <v>1</v>
      </c>
      <c r="G734" s="4">
        <v>0</v>
      </c>
      <c r="H734" s="4">
        <v>0</v>
      </c>
      <c r="I734" s="4" t="s">
        <v>1</v>
      </c>
      <c r="K7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0.12022112685706965</v>
      </c>
    </row>
    <row r="735" spans="1:11" x14ac:dyDescent="0.3">
      <c r="A735" s="4">
        <v>35</v>
      </c>
      <c r="B735" s="4">
        <v>800000</v>
      </c>
      <c r="C735" s="4">
        <v>5</v>
      </c>
      <c r="D735" s="4">
        <v>0</v>
      </c>
      <c r="E735" s="4">
        <v>0</v>
      </c>
      <c r="F735" s="4">
        <v>0</v>
      </c>
      <c r="G735" s="4">
        <v>0</v>
      </c>
      <c r="H735" s="4">
        <v>0</v>
      </c>
      <c r="I735" s="4" t="s">
        <v>1</v>
      </c>
      <c r="K7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0.35280934785230833</v>
      </c>
    </row>
    <row r="736" spans="1:11" x14ac:dyDescent="0.3">
      <c r="A736" s="4">
        <v>30</v>
      </c>
      <c r="B736" s="4">
        <v>800000</v>
      </c>
      <c r="C736" s="4">
        <v>4</v>
      </c>
      <c r="D736" s="4">
        <v>0</v>
      </c>
      <c r="E736" s="4">
        <v>0</v>
      </c>
      <c r="F736" s="4">
        <v>0</v>
      </c>
      <c r="G736" s="4">
        <v>0</v>
      </c>
      <c r="H736" s="4">
        <v>0</v>
      </c>
      <c r="I736" s="4" t="s">
        <v>1</v>
      </c>
      <c r="K7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0.26741247333988738</v>
      </c>
    </row>
    <row r="737" spans="1:11" x14ac:dyDescent="0.3">
      <c r="A737" s="4">
        <v>27</v>
      </c>
      <c r="B737" s="4">
        <v>1050000</v>
      </c>
      <c r="C737" s="4">
        <v>5</v>
      </c>
      <c r="D737" s="4">
        <v>1</v>
      </c>
      <c r="E737" s="4">
        <v>1</v>
      </c>
      <c r="F737" s="4">
        <v>0</v>
      </c>
      <c r="G737" s="4">
        <v>0</v>
      </c>
      <c r="H737" s="4">
        <v>0</v>
      </c>
      <c r="I737" s="4" t="s">
        <v>1</v>
      </c>
      <c r="K7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0.2186684900455455</v>
      </c>
    </row>
    <row r="738" spans="1:11" x14ac:dyDescent="0.3">
      <c r="A738" s="4">
        <v>33</v>
      </c>
      <c r="B738" s="4">
        <v>700000</v>
      </c>
      <c r="C738" s="4">
        <v>3</v>
      </c>
      <c r="D738" s="4">
        <v>1</v>
      </c>
      <c r="E738" s="4">
        <v>1</v>
      </c>
      <c r="F738" s="4">
        <v>0</v>
      </c>
      <c r="G738" s="4">
        <v>0</v>
      </c>
      <c r="H738" s="4">
        <v>0</v>
      </c>
      <c r="I738" s="4" t="s">
        <v>1</v>
      </c>
      <c r="K7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0.15875264874073991</v>
      </c>
    </row>
    <row r="739" spans="1:11" x14ac:dyDescent="0.3">
      <c r="A739" s="4">
        <v>31</v>
      </c>
      <c r="B739" s="4">
        <v>1350000</v>
      </c>
      <c r="C739" s="4">
        <v>3</v>
      </c>
      <c r="D739" s="4">
        <v>0</v>
      </c>
      <c r="E739" s="4">
        <v>1</v>
      </c>
      <c r="F739" s="4">
        <v>1</v>
      </c>
      <c r="G739" s="4">
        <v>1</v>
      </c>
      <c r="H739" s="4">
        <v>1</v>
      </c>
      <c r="I739" s="4" t="s">
        <v>1</v>
      </c>
      <c r="K7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0.80772363486868715</v>
      </c>
    </row>
    <row r="740" spans="1:11" x14ac:dyDescent="0.3">
      <c r="A740" s="4">
        <v>28</v>
      </c>
      <c r="B740" s="4">
        <v>700000</v>
      </c>
      <c r="C740" s="4">
        <v>4</v>
      </c>
      <c r="D740" s="4">
        <v>0</v>
      </c>
      <c r="E740" s="4">
        <v>1</v>
      </c>
      <c r="F740" s="4">
        <v>0</v>
      </c>
      <c r="G740" s="4">
        <v>1</v>
      </c>
      <c r="H740" s="4">
        <v>0</v>
      </c>
      <c r="I740" s="4" t="s">
        <v>1</v>
      </c>
      <c r="K7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0.21989409586648057</v>
      </c>
    </row>
    <row r="741" spans="1:11" x14ac:dyDescent="0.3">
      <c r="A741" s="4">
        <v>33</v>
      </c>
      <c r="B741" s="4">
        <v>550000</v>
      </c>
      <c r="C741" s="4">
        <v>8</v>
      </c>
      <c r="D741" s="4">
        <v>0</v>
      </c>
      <c r="E741" s="4">
        <v>1</v>
      </c>
      <c r="F741" s="4">
        <v>0</v>
      </c>
      <c r="G741" s="4">
        <v>0</v>
      </c>
      <c r="H741" s="4">
        <v>0</v>
      </c>
      <c r="I741" s="4" t="s">
        <v>1</v>
      </c>
      <c r="K7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0.21998318174911913</v>
      </c>
    </row>
    <row r="742" spans="1:11" x14ac:dyDescent="0.3">
      <c r="A742" s="4">
        <v>31</v>
      </c>
      <c r="B742" s="4">
        <v>400000</v>
      </c>
      <c r="C742" s="4">
        <v>9</v>
      </c>
      <c r="D742" s="4">
        <v>1</v>
      </c>
      <c r="E742" s="4">
        <v>1</v>
      </c>
      <c r="F742" s="4">
        <v>0</v>
      </c>
      <c r="G742" s="4">
        <v>0</v>
      </c>
      <c r="H742" s="4">
        <v>0</v>
      </c>
      <c r="I742" s="4" t="s">
        <v>1</v>
      </c>
      <c r="K7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0.14325843703970215</v>
      </c>
    </row>
    <row r="743" spans="1:11" x14ac:dyDescent="0.3">
      <c r="A743" s="4">
        <v>28</v>
      </c>
      <c r="B743" s="4">
        <v>600000</v>
      </c>
      <c r="C743" s="4">
        <v>4</v>
      </c>
      <c r="D743" s="4">
        <v>1</v>
      </c>
      <c r="E743" s="4">
        <v>1</v>
      </c>
      <c r="F743" s="4">
        <v>0</v>
      </c>
      <c r="G743" s="4">
        <v>0</v>
      </c>
      <c r="H743" s="4">
        <v>0</v>
      </c>
      <c r="I743" s="4" t="s">
        <v>1</v>
      </c>
      <c r="K7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7.7275194614950429E-2</v>
      </c>
    </row>
    <row r="744" spans="1:11" x14ac:dyDescent="0.3">
      <c r="A744" s="4">
        <v>26</v>
      </c>
      <c r="B744" s="4">
        <v>500000</v>
      </c>
      <c r="C744" s="4">
        <v>6</v>
      </c>
      <c r="D744" s="4">
        <v>1</v>
      </c>
      <c r="E744" s="4">
        <v>1</v>
      </c>
      <c r="F744" s="4">
        <v>1</v>
      </c>
      <c r="G744" s="4">
        <v>0</v>
      </c>
      <c r="H744" s="4">
        <v>0</v>
      </c>
      <c r="I744" s="4" t="s">
        <v>1</v>
      </c>
      <c r="K7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6.8789144815269154E-2</v>
      </c>
    </row>
    <row r="745" spans="1:11" x14ac:dyDescent="0.3">
      <c r="A745" s="4">
        <v>25</v>
      </c>
      <c r="B745" s="4">
        <v>1150000</v>
      </c>
      <c r="C745" s="4">
        <v>6</v>
      </c>
      <c r="D745" s="4">
        <v>0</v>
      </c>
      <c r="E745" s="4">
        <v>0</v>
      </c>
      <c r="F745" s="4">
        <v>0</v>
      </c>
      <c r="G745" s="4">
        <v>0</v>
      </c>
      <c r="H745" s="4">
        <v>0</v>
      </c>
      <c r="I745" s="4" t="s">
        <v>1</v>
      </c>
      <c r="K7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0.34095455107515915</v>
      </c>
    </row>
    <row r="746" spans="1:11" x14ac:dyDescent="0.3">
      <c r="A746" s="4">
        <v>34</v>
      </c>
      <c r="B746" s="4">
        <v>1300000</v>
      </c>
      <c r="C746" s="4">
        <v>7</v>
      </c>
      <c r="D746" s="4">
        <v>0</v>
      </c>
      <c r="E746" s="4">
        <v>1</v>
      </c>
      <c r="F746" s="4">
        <v>0</v>
      </c>
      <c r="G746" s="4">
        <v>0</v>
      </c>
      <c r="H746" s="4">
        <v>0</v>
      </c>
      <c r="I746" s="4" t="s">
        <v>1</v>
      </c>
      <c r="K7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0.44593345832111331</v>
      </c>
    </row>
    <row r="747" spans="1:11" x14ac:dyDescent="0.3">
      <c r="A747" s="4">
        <v>32</v>
      </c>
      <c r="B747" s="4">
        <v>650000</v>
      </c>
      <c r="C747" s="4">
        <v>3</v>
      </c>
      <c r="D747" s="4">
        <v>1</v>
      </c>
      <c r="E747" s="4">
        <v>1</v>
      </c>
      <c r="F747" s="4">
        <v>0</v>
      </c>
      <c r="G747" s="4">
        <v>0</v>
      </c>
      <c r="H747" s="4">
        <v>0</v>
      </c>
      <c r="I747" s="4" t="s">
        <v>1</v>
      </c>
      <c r="K7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0.12982043014349925</v>
      </c>
    </row>
    <row r="748" spans="1:11" x14ac:dyDescent="0.3">
      <c r="A748" s="4">
        <v>25</v>
      </c>
      <c r="B748" s="4">
        <v>1400000</v>
      </c>
      <c r="C748" s="4">
        <v>6</v>
      </c>
      <c r="D748" s="4">
        <v>0</v>
      </c>
      <c r="E748" s="4">
        <v>1</v>
      </c>
      <c r="F748" s="4">
        <v>0</v>
      </c>
      <c r="G748" s="4">
        <v>0</v>
      </c>
      <c r="H748" s="4">
        <v>1</v>
      </c>
      <c r="I748" s="4" t="s">
        <v>1</v>
      </c>
      <c r="K7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0.6870353536485867</v>
      </c>
    </row>
    <row r="749" spans="1:11" x14ac:dyDescent="0.3">
      <c r="A749" s="4">
        <v>25</v>
      </c>
      <c r="B749" s="4">
        <v>1150000</v>
      </c>
      <c r="C749" s="4">
        <v>6</v>
      </c>
      <c r="D749" s="4">
        <v>0</v>
      </c>
      <c r="E749" s="4">
        <v>0</v>
      </c>
      <c r="F749" s="4">
        <v>0</v>
      </c>
      <c r="G749" s="4">
        <v>0</v>
      </c>
      <c r="H749" s="4">
        <v>0</v>
      </c>
      <c r="I749" s="4" t="s">
        <v>1</v>
      </c>
      <c r="K7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0.34095455107515915</v>
      </c>
    </row>
    <row r="750" spans="1:11" x14ac:dyDescent="0.3">
      <c r="A750" s="4">
        <v>28</v>
      </c>
      <c r="B750" s="4">
        <v>700000</v>
      </c>
      <c r="C750" s="4">
        <v>3</v>
      </c>
      <c r="D750" s="4">
        <v>0</v>
      </c>
      <c r="E750" s="4">
        <v>1</v>
      </c>
      <c r="F750" s="4">
        <v>0</v>
      </c>
      <c r="G750" s="4">
        <v>0</v>
      </c>
      <c r="H750" s="4">
        <v>0</v>
      </c>
      <c r="I750" s="4" t="s">
        <v>1</v>
      </c>
      <c r="K7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0.11144148429666069</v>
      </c>
    </row>
    <row r="751" spans="1:11" x14ac:dyDescent="0.3">
      <c r="A751" s="4">
        <v>31</v>
      </c>
      <c r="B751" s="4">
        <v>1400000</v>
      </c>
      <c r="C751" s="4">
        <v>4</v>
      </c>
      <c r="D751" s="4">
        <v>0</v>
      </c>
      <c r="E751" s="4">
        <v>1</v>
      </c>
      <c r="F751" s="4">
        <v>0</v>
      </c>
      <c r="G751" s="4">
        <v>0</v>
      </c>
      <c r="H751" s="4">
        <v>1</v>
      </c>
      <c r="I751" s="4" t="s">
        <v>1</v>
      </c>
      <c r="K7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0.73426138751120296</v>
      </c>
    </row>
    <row r="752" spans="1:11" x14ac:dyDescent="0.3">
      <c r="A752" s="4">
        <v>34</v>
      </c>
      <c r="B752" s="4">
        <v>1750000</v>
      </c>
      <c r="C752" s="4">
        <v>3</v>
      </c>
      <c r="D752" s="4">
        <v>0</v>
      </c>
      <c r="E752" s="4">
        <v>1</v>
      </c>
      <c r="F752" s="4">
        <v>0</v>
      </c>
      <c r="G752" s="4">
        <v>1</v>
      </c>
      <c r="H752" s="4">
        <v>0</v>
      </c>
      <c r="I752" s="4" t="s">
        <v>1</v>
      </c>
      <c r="K7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0.60581144759145267</v>
      </c>
    </row>
    <row r="753" spans="1:11" x14ac:dyDescent="0.3">
      <c r="A753" s="4">
        <v>34</v>
      </c>
      <c r="B753" s="4">
        <v>500000</v>
      </c>
      <c r="C753" s="4">
        <v>4</v>
      </c>
      <c r="D753" s="4">
        <v>0</v>
      </c>
      <c r="E753" s="4">
        <v>1</v>
      </c>
      <c r="F753" s="4">
        <v>0</v>
      </c>
      <c r="G753" s="4">
        <v>0</v>
      </c>
      <c r="H753" s="4">
        <v>0</v>
      </c>
      <c r="I753" s="4" t="s">
        <v>1</v>
      </c>
      <c r="K7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0.14924066657244955</v>
      </c>
    </row>
    <row r="754" spans="1:11" x14ac:dyDescent="0.3">
      <c r="A754" s="4">
        <v>31</v>
      </c>
      <c r="B754" s="4">
        <v>900000</v>
      </c>
      <c r="C754" s="4">
        <v>5</v>
      </c>
      <c r="D754" s="4">
        <v>0</v>
      </c>
      <c r="E754" s="4">
        <v>1</v>
      </c>
      <c r="F754" s="4">
        <v>0</v>
      </c>
      <c r="G754" s="4">
        <v>0</v>
      </c>
      <c r="H754" s="4">
        <v>0</v>
      </c>
      <c r="I754" s="4" t="s">
        <v>1</v>
      </c>
      <c r="K7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0.24807550697533787</v>
      </c>
    </row>
    <row r="755" spans="1:11" x14ac:dyDescent="0.3">
      <c r="A755" s="4">
        <v>30</v>
      </c>
      <c r="B755" s="4">
        <v>500000</v>
      </c>
      <c r="C755" s="4">
        <v>7</v>
      </c>
      <c r="D755" s="4">
        <v>0</v>
      </c>
      <c r="E755" s="4">
        <v>0</v>
      </c>
      <c r="F755" s="4">
        <v>0</v>
      </c>
      <c r="G755" s="4">
        <v>0</v>
      </c>
      <c r="H755" s="4">
        <v>0</v>
      </c>
      <c r="I755" s="4" t="s">
        <v>1</v>
      </c>
      <c r="K7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0.22737365741951099</v>
      </c>
    </row>
    <row r="756" spans="1:11" x14ac:dyDescent="0.3">
      <c r="A756" s="4">
        <v>32</v>
      </c>
      <c r="B756" s="4">
        <v>850000</v>
      </c>
      <c r="C756" s="4">
        <v>3</v>
      </c>
      <c r="D756" s="4">
        <v>1</v>
      </c>
      <c r="E756" s="4">
        <v>1</v>
      </c>
      <c r="F756" s="4">
        <v>0</v>
      </c>
      <c r="G756" s="4">
        <v>1</v>
      </c>
      <c r="H756" s="4">
        <v>0</v>
      </c>
      <c r="I756" s="4" t="s">
        <v>1</v>
      </c>
      <c r="K7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0.28223127802032699</v>
      </c>
    </row>
    <row r="757" spans="1:11" x14ac:dyDescent="0.3">
      <c r="A757" s="4">
        <v>33</v>
      </c>
      <c r="B757" s="4">
        <v>400000</v>
      </c>
      <c r="C757" s="4">
        <v>7</v>
      </c>
      <c r="D757" s="4">
        <v>1</v>
      </c>
      <c r="E757" s="4">
        <v>1</v>
      </c>
      <c r="F757" s="4">
        <v>1</v>
      </c>
      <c r="G757" s="4">
        <v>0</v>
      </c>
      <c r="H757" s="4">
        <v>0</v>
      </c>
      <c r="I757" s="4" t="s">
        <v>1</v>
      </c>
      <c r="K7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0.15082652785507325</v>
      </c>
    </row>
    <row r="758" spans="1:11" x14ac:dyDescent="0.3">
      <c r="A758" s="4">
        <v>34</v>
      </c>
      <c r="B758" s="4">
        <v>850000</v>
      </c>
      <c r="C758" s="4">
        <v>5</v>
      </c>
      <c r="D758" s="4">
        <v>0</v>
      </c>
      <c r="E758" s="4">
        <v>1</v>
      </c>
      <c r="F758" s="4">
        <v>0</v>
      </c>
      <c r="G758" s="4">
        <v>0</v>
      </c>
      <c r="H758" s="4">
        <v>0</v>
      </c>
      <c r="I758" s="4" t="s">
        <v>1</v>
      </c>
      <c r="K7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0.27364823409996164</v>
      </c>
    </row>
    <row r="759" spans="1:11" x14ac:dyDescent="0.3">
      <c r="A759" s="4">
        <v>31</v>
      </c>
      <c r="B759" s="4">
        <v>400000</v>
      </c>
      <c r="C759" s="4">
        <v>4</v>
      </c>
      <c r="D759" s="4">
        <v>1</v>
      </c>
      <c r="E759" s="4">
        <v>1</v>
      </c>
      <c r="F759" s="4">
        <v>0</v>
      </c>
      <c r="G759" s="4">
        <v>0</v>
      </c>
      <c r="H759" s="4">
        <v>0</v>
      </c>
      <c r="I759" s="4" t="s">
        <v>1</v>
      </c>
      <c r="K7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5.6929975239250655E-2</v>
      </c>
    </row>
    <row r="760" spans="1:11" x14ac:dyDescent="0.3">
      <c r="A760" s="4">
        <v>26</v>
      </c>
      <c r="B760" s="4">
        <v>500000</v>
      </c>
      <c r="C760" s="4">
        <v>2</v>
      </c>
      <c r="D760" s="4">
        <v>0</v>
      </c>
      <c r="E760" s="4">
        <v>1</v>
      </c>
      <c r="F760" s="4">
        <v>0</v>
      </c>
      <c r="G760" s="4">
        <v>0</v>
      </c>
      <c r="H760" s="4">
        <v>0</v>
      </c>
      <c r="I760" s="4" t="s">
        <v>1</v>
      </c>
      <c r="K7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5.6993904085399227E-3</v>
      </c>
    </row>
    <row r="761" spans="1:11" x14ac:dyDescent="0.3">
      <c r="A761" s="4">
        <v>29</v>
      </c>
      <c r="B761" s="4">
        <v>1200000</v>
      </c>
      <c r="C761" s="4">
        <v>7</v>
      </c>
      <c r="D761" s="4">
        <v>0</v>
      </c>
      <c r="E761" s="4">
        <v>1</v>
      </c>
      <c r="F761" s="4">
        <v>1</v>
      </c>
      <c r="G761" s="4">
        <v>0</v>
      </c>
      <c r="H761" s="4">
        <v>0</v>
      </c>
      <c r="I761" s="4" t="s">
        <v>1</v>
      </c>
      <c r="K7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0.36203731450985294</v>
      </c>
    </row>
    <row r="762" spans="1:11" x14ac:dyDescent="0.3">
      <c r="A762" s="4">
        <v>31</v>
      </c>
      <c r="B762" s="4">
        <v>900000</v>
      </c>
      <c r="C762" s="4">
        <v>6</v>
      </c>
      <c r="D762" s="4">
        <v>0</v>
      </c>
      <c r="E762" s="4">
        <v>1</v>
      </c>
      <c r="F762" s="4">
        <v>0</v>
      </c>
      <c r="G762" s="4">
        <v>0</v>
      </c>
      <c r="H762" s="4">
        <v>0</v>
      </c>
      <c r="I762" s="4" t="s">
        <v>1</v>
      </c>
      <c r="K7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0.26534119933542821</v>
      </c>
    </row>
    <row r="763" spans="1:11" x14ac:dyDescent="0.3">
      <c r="A763" s="4">
        <v>28</v>
      </c>
      <c r="B763" s="4">
        <v>1100000</v>
      </c>
      <c r="C763" s="4">
        <v>4</v>
      </c>
      <c r="D763" s="4">
        <v>0</v>
      </c>
      <c r="E763" s="4">
        <v>1</v>
      </c>
      <c r="F763" s="4">
        <v>1</v>
      </c>
      <c r="G763" s="4">
        <v>0</v>
      </c>
      <c r="H763" s="4">
        <v>0</v>
      </c>
      <c r="I763" s="4" t="s">
        <v>1</v>
      </c>
      <c r="K7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0.26600203666556688</v>
      </c>
    </row>
    <row r="764" spans="1:11" x14ac:dyDescent="0.3">
      <c r="A764" s="4">
        <v>29</v>
      </c>
      <c r="B764" s="4">
        <v>500000</v>
      </c>
      <c r="C764" s="4">
        <v>5</v>
      </c>
      <c r="D764" s="4">
        <v>0</v>
      </c>
      <c r="E764" s="4">
        <v>1</v>
      </c>
      <c r="F764" s="4">
        <v>0</v>
      </c>
      <c r="G764" s="4">
        <v>0</v>
      </c>
      <c r="H764" s="4">
        <v>0</v>
      </c>
      <c r="I764" s="4" t="s">
        <v>1</v>
      </c>
      <c r="K7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9.837517678020917E-2</v>
      </c>
    </row>
    <row r="765" spans="1:11" x14ac:dyDescent="0.3">
      <c r="A765" s="4">
        <v>31</v>
      </c>
      <c r="B765" s="4">
        <v>300000</v>
      </c>
      <c r="C765" s="4">
        <v>3</v>
      </c>
      <c r="D765" s="4">
        <v>1</v>
      </c>
      <c r="E765" s="4">
        <v>0</v>
      </c>
      <c r="F765" s="4">
        <v>1</v>
      </c>
      <c r="G765" s="4">
        <v>0</v>
      </c>
      <c r="H765" s="4">
        <v>0</v>
      </c>
      <c r="I765" s="4" t="s">
        <v>1</v>
      </c>
      <c r="K7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0.10474018070888573</v>
      </c>
    </row>
    <row r="766" spans="1:11" x14ac:dyDescent="0.3">
      <c r="A766" s="4">
        <v>32</v>
      </c>
      <c r="B766" s="4">
        <v>800000</v>
      </c>
      <c r="C766" s="4">
        <v>4</v>
      </c>
      <c r="D766" s="4">
        <v>1</v>
      </c>
      <c r="E766" s="4">
        <v>1</v>
      </c>
      <c r="F766" s="4">
        <v>1</v>
      </c>
      <c r="G766" s="4">
        <v>0</v>
      </c>
      <c r="H766" s="4">
        <v>0</v>
      </c>
      <c r="I766" s="4" t="s">
        <v>1</v>
      </c>
      <c r="K7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0.20785107167853259</v>
      </c>
    </row>
    <row r="767" spans="1:11" x14ac:dyDescent="0.3">
      <c r="A767" s="4">
        <v>29</v>
      </c>
      <c r="B767" s="4">
        <v>1100000</v>
      </c>
      <c r="C767" s="4">
        <v>4</v>
      </c>
      <c r="D767" s="4">
        <v>0</v>
      </c>
      <c r="E767" s="4">
        <v>1</v>
      </c>
      <c r="F767" s="4">
        <v>1</v>
      </c>
      <c r="G767" s="4">
        <v>0</v>
      </c>
      <c r="H767" s="4">
        <v>0</v>
      </c>
      <c r="I767" s="4" t="s">
        <v>1</v>
      </c>
      <c r="K7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0.279628273096033</v>
      </c>
    </row>
    <row r="768" spans="1:11" x14ac:dyDescent="0.3">
      <c r="A768" s="4">
        <v>34</v>
      </c>
      <c r="B768" s="4">
        <v>1050000</v>
      </c>
      <c r="C768" s="4">
        <v>7</v>
      </c>
      <c r="D768" s="4">
        <v>0</v>
      </c>
      <c r="E768" s="4">
        <v>1</v>
      </c>
      <c r="F768" s="4">
        <v>0</v>
      </c>
      <c r="G768" s="4">
        <v>0</v>
      </c>
      <c r="H768" s="4">
        <v>0</v>
      </c>
      <c r="I768" s="4" t="s">
        <v>1</v>
      </c>
      <c r="K7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0.36940354748724047</v>
      </c>
    </row>
    <row r="769" spans="1:11" x14ac:dyDescent="0.3">
      <c r="A769" s="4">
        <v>25</v>
      </c>
      <c r="B769" s="4">
        <v>1150000</v>
      </c>
      <c r="C769" s="4">
        <v>4</v>
      </c>
      <c r="D769" s="4">
        <v>0</v>
      </c>
      <c r="E769" s="4">
        <v>0</v>
      </c>
      <c r="F769" s="4">
        <v>1</v>
      </c>
      <c r="G769" s="4">
        <v>0</v>
      </c>
      <c r="H769" s="4">
        <v>0</v>
      </c>
      <c r="I769" s="4" t="s">
        <v>1</v>
      </c>
      <c r="K7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0.32127016902959804</v>
      </c>
    </row>
    <row r="770" spans="1:11" x14ac:dyDescent="0.3">
      <c r="A770" s="4">
        <v>31</v>
      </c>
      <c r="B770" s="4">
        <v>1350000</v>
      </c>
      <c r="C770" s="4">
        <v>3</v>
      </c>
      <c r="D770" s="4">
        <v>0</v>
      </c>
      <c r="E770" s="4">
        <v>1</v>
      </c>
      <c r="F770" s="4">
        <v>0</v>
      </c>
      <c r="G770" s="4">
        <v>0</v>
      </c>
      <c r="H770" s="4">
        <v>1</v>
      </c>
      <c r="I770" s="4" t="s">
        <v>1</v>
      </c>
      <c r="K7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0.70168971298433802</v>
      </c>
    </row>
    <row r="771" spans="1:11" x14ac:dyDescent="0.3">
      <c r="A771" s="4">
        <v>30</v>
      </c>
      <c r="B771" s="4">
        <v>550000</v>
      </c>
      <c r="C771" s="4">
        <v>3</v>
      </c>
      <c r="D771" s="4">
        <v>0</v>
      </c>
      <c r="E771" s="4">
        <v>0</v>
      </c>
      <c r="F771" s="4">
        <v>1</v>
      </c>
      <c r="G771" s="4">
        <v>0</v>
      </c>
      <c r="H771" s="4">
        <v>0</v>
      </c>
      <c r="I771" s="4" t="s">
        <v>1</v>
      </c>
      <c r="K7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0.1884638728205438</v>
      </c>
    </row>
    <row r="772" spans="1:11" x14ac:dyDescent="0.3">
      <c r="A772" s="4">
        <v>27</v>
      </c>
      <c r="B772" s="4">
        <v>1050000</v>
      </c>
      <c r="C772" s="4">
        <v>7</v>
      </c>
      <c r="D772" s="4">
        <v>1</v>
      </c>
      <c r="E772" s="4">
        <v>1</v>
      </c>
      <c r="F772" s="4">
        <v>1</v>
      </c>
      <c r="G772" s="4">
        <v>0</v>
      </c>
      <c r="H772" s="4">
        <v>0</v>
      </c>
      <c r="I772" s="4" t="s">
        <v>1</v>
      </c>
      <c r="K7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0.26804687744034561</v>
      </c>
    </row>
    <row r="773" spans="1:11" x14ac:dyDescent="0.3">
      <c r="A773" s="4">
        <v>33</v>
      </c>
      <c r="B773" s="4">
        <v>1100000</v>
      </c>
      <c r="C773" s="4">
        <v>4</v>
      </c>
      <c r="D773" s="4">
        <v>1</v>
      </c>
      <c r="E773" s="4">
        <v>1</v>
      </c>
      <c r="F773" s="4">
        <v>0</v>
      </c>
      <c r="G773" s="4">
        <v>0</v>
      </c>
      <c r="H773" s="4">
        <v>0</v>
      </c>
      <c r="I773" s="4" t="s">
        <v>1</v>
      </c>
      <c r="K7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0.29846619843502659</v>
      </c>
    </row>
    <row r="774" spans="1:11" x14ac:dyDescent="0.3">
      <c r="A774" s="4">
        <v>25</v>
      </c>
      <c r="B774" s="4">
        <v>1700000</v>
      </c>
      <c r="C774" s="4">
        <v>3</v>
      </c>
      <c r="D774" s="4">
        <v>0</v>
      </c>
      <c r="E774" s="4">
        <v>0</v>
      </c>
      <c r="F774" s="4">
        <v>0</v>
      </c>
      <c r="G774" s="4">
        <v>1</v>
      </c>
      <c r="H774" s="4">
        <v>0</v>
      </c>
      <c r="I774" s="4" t="s">
        <v>1</v>
      </c>
      <c r="K7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0.54871019703913781</v>
      </c>
    </row>
    <row r="775" spans="1:11" x14ac:dyDescent="0.3">
      <c r="A775" s="4">
        <v>25</v>
      </c>
      <c r="B775" s="4">
        <v>600000</v>
      </c>
      <c r="C775" s="4">
        <v>3</v>
      </c>
      <c r="D775" s="4">
        <v>0</v>
      </c>
      <c r="E775" s="4">
        <v>0</v>
      </c>
      <c r="F775" s="4">
        <v>0</v>
      </c>
      <c r="G775" s="4">
        <v>0</v>
      </c>
      <c r="H775" s="4">
        <v>0</v>
      </c>
      <c r="I775" s="4" t="s">
        <v>1</v>
      </c>
      <c r="K7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0.12079167016036818</v>
      </c>
    </row>
    <row r="776" spans="1:11" x14ac:dyDescent="0.3">
      <c r="A776" s="4">
        <v>28</v>
      </c>
      <c r="B776" s="4">
        <v>800000</v>
      </c>
      <c r="C776" s="4">
        <v>4</v>
      </c>
      <c r="D776" s="4">
        <v>0</v>
      </c>
      <c r="E776" s="4">
        <v>1</v>
      </c>
      <c r="F776" s="4">
        <v>0</v>
      </c>
      <c r="G776" s="4">
        <v>0</v>
      </c>
      <c r="H776" s="4">
        <v>0</v>
      </c>
      <c r="I776" s="4" t="s">
        <v>1</v>
      </c>
      <c r="K7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0.15931914099030009</v>
      </c>
    </row>
    <row r="777" spans="1:11" x14ac:dyDescent="0.3">
      <c r="A777" s="4">
        <v>34</v>
      </c>
      <c r="B777" s="4">
        <v>1500000</v>
      </c>
      <c r="C777" s="4">
        <v>5</v>
      </c>
      <c r="D777" s="4">
        <v>0</v>
      </c>
      <c r="E777" s="4">
        <v>1</v>
      </c>
      <c r="F777" s="4">
        <v>1</v>
      </c>
      <c r="G777" s="4">
        <v>1</v>
      </c>
      <c r="H777" s="4">
        <v>1</v>
      </c>
      <c r="I777" s="4" t="s">
        <v>1</v>
      </c>
      <c r="K7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0.92905167538058975</v>
      </c>
    </row>
    <row r="778" spans="1:11" x14ac:dyDescent="0.3">
      <c r="A778" s="4">
        <v>28</v>
      </c>
      <c r="B778" s="4">
        <v>550000</v>
      </c>
      <c r="C778" s="4">
        <v>4</v>
      </c>
      <c r="D778" s="4">
        <v>0</v>
      </c>
      <c r="E778" s="4">
        <v>1</v>
      </c>
      <c r="F778" s="4">
        <v>0</v>
      </c>
      <c r="G778" s="4">
        <v>0</v>
      </c>
      <c r="H778" s="4">
        <v>0</v>
      </c>
      <c r="I778" s="4" t="s">
        <v>1</v>
      </c>
      <c r="K7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8.2789230156427321E-2</v>
      </c>
    </row>
    <row r="779" spans="1:11" x14ac:dyDescent="0.3">
      <c r="A779" s="4">
        <v>31</v>
      </c>
      <c r="B779" s="4">
        <v>400000</v>
      </c>
      <c r="C779" s="4">
        <v>8</v>
      </c>
      <c r="D779" s="4">
        <v>1</v>
      </c>
      <c r="E779" s="4">
        <v>0</v>
      </c>
      <c r="F779" s="4">
        <v>0</v>
      </c>
      <c r="G779" s="4">
        <v>0</v>
      </c>
      <c r="H779" s="4">
        <v>0</v>
      </c>
      <c r="I779" s="4" t="s">
        <v>1</v>
      </c>
      <c r="K7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0.20683360416826688</v>
      </c>
    </row>
    <row r="780" spans="1:11" x14ac:dyDescent="0.3">
      <c r="A780" s="4">
        <v>28</v>
      </c>
      <c r="B780" s="4">
        <v>500000</v>
      </c>
      <c r="C780" s="4">
        <v>3</v>
      </c>
      <c r="D780" s="4">
        <v>0</v>
      </c>
      <c r="E780" s="4">
        <v>1</v>
      </c>
      <c r="F780" s="4">
        <v>1</v>
      </c>
      <c r="G780" s="4">
        <v>0</v>
      </c>
      <c r="H780" s="4">
        <v>0</v>
      </c>
      <c r="I780" s="4" t="s">
        <v>1</v>
      </c>
      <c r="K7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6.5064558304181924E-2</v>
      </c>
    </row>
    <row r="781" spans="1:11" x14ac:dyDescent="0.3">
      <c r="A781" s="4">
        <v>28</v>
      </c>
      <c r="B781" s="4">
        <v>1150000</v>
      </c>
      <c r="C781" s="4">
        <v>6</v>
      </c>
      <c r="D781" s="4">
        <v>0</v>
      </c>
      <c r="E781" s="4">
        <v>1</v>
      </c>
      <c r="F781" s="4">
        <v>0</v>
      </c>
      <c r="G781" s="4">
        <v>0</v>
      </c>
      <c r="H781" s="4">
        <v>0</v>
      </c>
      <c r="I781" s="4" t="s">
        <v>1</v>
      </c>
      <c r="K7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0.30099240087790252</v>
      </c>
    </row>
    <row r="782" spans="1:11" x14ac:dyDescent="0.3">
      <c r="A782" s="4">
        <v>31</v>
      </c>
      <c r="B782" s="4">
        <v>400000</v>
      </c>
      <c r="C782" s="4">
        <v>3</v>
      </c>
      <c r="D782" s="4">
        <v>1</v>
      </c>
      <c r="E782" s="4">
        <v>1</v>
      </c>
      <c r="F782" s="4">
        <v>0</v>
      </c>
      <c r="G782" s="4">
        <v>0</v>
      </c>
      <c r="H782" s="4">
        <v>0</v>
      </c>
      <c r="I782" s="4" t="s">
        <v>1</v>
      </c>
      <c r="K7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3.9664282879160365E-2</v>
      </c>
    </row>
    <row r="783" spans="1:11" x14ac:dyDescent="0.3">
      <c r="A783" s="4">
        <v>35</v>
      </c>
      <c r="B783" s="4">
        <v>950000</v>
      </c>
      <c r="C783" s="4">
        <v>2</v>
      </c>
      <c r="D783" s="4">
        <v>0</v>
      </c>
      <c r="E783" s="4">
        <v>0</v>
      </c>
      <c r="F783" s="4">
        <v>1</v>
      </c>
      <c r="G783" s="4">
        <v>0</v>
      </c>
      <c r="H783" s="4">
        <v>0</v>
      </c>
      <c r="I783" s="4" t="s">
        <v>1</v>
      </c>
      <c r="K7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0.36177721994698059</v>
      </c>
    </row>
    <row r="784" spans="1:11" x14ac:dyDescent="0.3">
      <c r="A784" s="4">
        <v>29</v>
      </c>
      <c r="B784" s="4">
        <v>1200000</v>
      </c>
      <c r="C784" s="4">
        <v>7</v>
      </c>
      <c r="D784" s="4">
        <v>0</v>
      </c>
      <c r="E784" s="4">
        <v>1</v>
      </c>
      <c r="F784" s="4">
        <v>0</v>
      </c>
      <c r="G784" s="4">
        <v>0</v>
      </c>
      <c r="H784" s="4">
        <v>0</v>
      </c>
      <c r="I784" s="4" t="s">
        <v>1</v>
      </c>
      <c r="K7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0.34719031183523347</v>
      </c>
    </row>
    <row r="785" spans="1:11" x14ac:dyDescent="0.3">
      <c r="A785" s="4">
        <v>32</v>
      </c>
      <c r="B785" s="4">
        <v>850000</v>
      </c>
      <c r="C785" s="4">
        <v>5</v>
      </c>
      <c r="D785" s="4">
        <v>1</v>
      </c>
      <c r="E785" s="4">
        <v>1</v>
      </c>
      <c r="F785" s="4">
        <v>1</v>
      </c>
      <c r="G785" s="4">
        <v>1</v>
      </c>
      <c r="H785" s="4">
        <v>0</v>
      </c>
      <c r="I785" s="4" t="s">
        <v>1</v>
      </c>
      <c r="K7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0.33160966541512699</v>
      </c>
    </row>
    <row r="786" spans="1:11" x14ac:dyDescent="0.3">
      <c r="A786" s="4">
        <v>31</v>
      </c>
      <c r="B786" s="4">
        <v>1250000</v>
      </c>
      <c r="C786" s="4">
        <v>6</v>
      </c>
      <c r="D786" s="4">
        <v>0</v>
      </c>
      <c r="E786" s="4">
        <v>1</v>
      </c>
      <c r="F786" s="4">
        <v>1</v>
      </c>
      <c r="G786" s="4">
        <v>0</v>
      </c>
      <c r="H786" s="4">
        <v>0</v>
      </c>
      <c r="I786" s="4" t="s">
        <v>1</v>
      </c>
      <c r="K7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0.38733007717746953</v>
      </c>
    </row>
    <row r="787" spans="1:11" x14ac:dyDescent="0.3">
      <c r="A787" s="4">
        <v>28</v>
      </c>
      <c r="B787" s="4">
        <v>300000</v>
      </c>
      <c r="C787" s="4">
        <v>6</v>
      </c>
      <c r="D787" s="4">
        <v>1</v>
      </c>
      <c r="E787" s="4">
        <v>1</v>
      </c>
      <c r="F787" s="4">
        <v>0</v>
      </c>
      <c r="G787" s="4">
        <v>0</v>
      </c>
      <c r="H787" s="4">
        <v>0</v>
      </c>
      <c r="I787" s="4" t="s">
        <v>1</v>
      </c>
      <c r="K7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1.997068633448372E-2</v>
      </c>
    </row>
    <row r="788" spans="1:11" x14ac:dyDescent="0.3">
      <c r="A788" s="4">
        <v>33</v>
      </c>
      <c r="B788" s="4">
        <v>1100000</v>
      </c>
      <c r="C788" s="4">
        <v>4</v>
      </c>
      <c r="D788" s="4">
        <v>1</v>
      </c>
      <c r="E788" s="4">
        <v>1</v>
      </c>
      <c r="F788" s="4">
        <v>0</v>
      </c>
      <c r="G788" s="4">
        <v>0</v>
      </c>
      <c r="H788" s="4">
        <v>0</v>
      </c>
      <c r="I788" s="4" t="s">
        <v>1</v>
      </c>
      <c r="K7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0.29846619843502659</v>
      </c>
    </row>
    <row r="789" spans="1:11" x14ac:dyDescent="0.3">
      <c r="A789" s="4">
        <v>35</v>
      </c>
      <c r="B789" s="4">
        <v>1100000</v>
      </c>
      <c r="C789" s="4">
        <v>3</v>
      </c>
      <c r="D789" s="4">
        <v>1</v>
      </c>
      <c r="E789" s="4">
        <v>1</v>
      </c>
      <c r="F789" s="4">
        <v>0</v>
      </c>
      <c r="G789" s="4">
        <v>0</v>
      </c>
      <c r="H789" s="4">
        <v>0</v>
      </c>
      <c r="I789" s="4" t="s">
        <v>1</v>
      </c>
      <c r="K7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0.30845297893586859</v>
      </c>
    </row>
    <row r="790" spans="1:11" x14ac:dyDescent="0.3">
      <c r="A790" s="4">
        <v>28</v>
      </c>
      <c r="B790" s="4">
        <v>1200000</v>
      </c>
      <c r="C790" s="4">
        <v>5</v>
      </c>
      <c r="D790" s="4">
        <v>0</v>
      </c>
      <c r="E790" s="4">
        <v>1</v>
      </c>
      <c r="F790" s="4">
        <v>0</v>
      </c>
      <c r="G790" s="4">
        <v>0</v>
      </c>
      <c r="H790" s="4">
        <v>0</v>
      </c>
      <c r="I790" s="4" t="s">
        <v>1</v>
      </c>
      <c r="K7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0.29903269068458671</v>
      </c>
    </row>
    <row r="791" spans="1:11" x14ac:dyDescent="0.3">
      <c r="A791" s="4">
        <v>29</v>
      </c>
      <c r="B791" s="4">
        <v>1050000</v>
      </c>
      <c r="C791" s="4">
        <v>6</v>
      </c>
      <c r="D791" s="4">
        <v>0</v>
      </c>
      <c r="E791" s="4">
        <v>1</v>
      </c>
      <c r="F791" s="4">
        <v>0</v>
      </c>
      <c r="G791" s="4">
        <v>0</v>
      </c>
      <c r="H791" s="4">
        <v>0</v>
      </c>
      <c r="I791" s="4" t="s">
        <v>1</v>
      </c>
      <c r="K7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0.28400667297481952</v>
      </c>
    </row>
    <row r="792" spans="1:11" x14ac:dyDescent="0.3">
      <c r="A792" s="4">
        <v>28</v>
      </c>
      <c r="B792" s="4">
        <v>300000</v>
      </c>
      <c r="C792" s="4">
        <v>5</v>
      </c>
      <c r="D792" s="4">
        <v>1</v>
      </c>
      <c r="E792" s="4">
        <v>1</v>
      </c>
      <c r="F792" s="4">
        <v>1</v>
      </c>
      <c r="G792" s="4">
        <v>0</v>
      </c>
      <c r="H792" s="4">
        <v>0</v>
      </c>
      <c r="I792" s="4" t="s">
        <v>1</v>
      </c>
      <c r="K7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1.7551996649012865E-2</v>
      </c>
    </row>
    <row r="793" spans="1:11" x14ac:dyDescent="0.3">
      <c r="A793" s="4">
        <v>28</v>
      </c>
      <c r="B793" s="4">
        <v>300000</v>
      </c>
      <c r="C793" s="4">
        <v>4</v>
      </c>
      <c r="D793" s="4">
        <v>1</v>
      </c>
      <c r="E793" s="4">
        <v>1</v>
      </c>
      <c r="F793" s="4">
        <v>0</v>
      </c>
      <c r="G793" s="4">
        <v>0</v>
      </c>
      <c r="H793" s="4">
        <v>0</v>
      </c>
      <c r="I793" s="4" t="s">
        <v>1</v>
      </c>
      <c r="K7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-1.4560698385696874E-2</v>
      </c>
    </row>
    <row r="794" spans="1:11" x14ac:dyDescent="0.3">
      <c r="A794" s="4">
        <v>33</v>
      </c>
      <c r="B794" s="4">
        <v>1750000</v>
      </c>
      <c r="C794" s="4">
        <v>6</v>
      </c>
      <c r="D794" s="4">
        <v>0</v>
      </c>
      <c r="E794" s="4">
        <v>1</v>
      </c>
      <c r="F794" s="4">
        <v>0</v>
      </c>
      <c r="G794" s="4">
        <v>0</v>
      </c>
      <c r="H794" s="4">
        <v>0</v>
      </c>
      <c r="I794" s="4" t="s">
        <v>1</v>
      </c>
      <c r="K7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0.55279536903152771</v>
      </c>
    </row>
    <row r="795" spans="1:11" x14ac:dyDescent="0.3">
      <c r="A795" s="4">
        <v>34</v>
      </c>
      <c r="B795" s="4">
        <v>1000000</v>
      </c>
      <c r="C795" s="4">
        <v>5</v>
      </c>
      <c r="D795" s="4">
        <v>0</v>
      </c>
      <c r="E795" s="4">
        <v>1</v>
      </c>
      <c r="F795" s="4">
        <v>0</v>
      </c>
      <c r="G795" s="4">
        <v>0</v>
      </c>
      <c r="H795" s="4">
        <v>0</v>
      </c>
      <c r="I795" s="4" t="s">
        <v>1</v>
      </c>
      <c r="K7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0.3195661806002853</v>
      </c>
    </row>
    <row r="796" spans="1:11" x14ac:dyDescent="0.3">
      <c r="A796" s="4">
        <v>28</v>
      </c>
      <c r="B796" s="4">
        <v>1100000</v>
      </c>
      <c r="C796" s="4">
        <v>4</v>
      </c>
      <c r="D796" s="4">
        <v>1</v>
      </c>
      <c r="E796" s="4">
        <v>1</v>
      </c>
      <c r="F796" s="4">
        <v>1</v>
      </c>
      <c r="G796" s="4">
        <v>0</v>
      </c>
      <c r="H796" s="4">
        <v>0</v>
      </c>
      <c r="I796" s="4" t="s">
        <v>1</v>
      </c>
      <c r="K7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0.24518201895731542</v>
      </c>
    </row>
    <row r="797" spans="1:11" x14ac:dyDescent="0.3">
      <c r="A797" s="4">
        <v>25</v>
      </c>
      <c r="B797" s="4">
        <v>1400000</v>
      </c>
      <c r="C797" s="4">
        <v>7</v>
      </c>
      <c r="D797" s="4">
        <v>0</v>
      </c>
      <c r="E797" s="4">
        <v>1</v>
      </c>
      <c r="F797" s="4">
        <v>0</v>
      </c>
      <c r="G797" s="4">
        <v>0</v>
      </c>
      <c r="H797" s="4">
        <v>1</v>
      </c>
      <c r="I797" s="4" t="s">
        <v>1</v>
      </c>
      <c r="K7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0.70430104600867705</v>
      </c>
    </row>
    <row r="798" spans="1:11" x14ac:dyDescent="0.3">
      <c r="A798" s="4">
        <v>27</v>
      </c>
      <c r="B798" s="4">
        <v>750000</v>
      </c>
      <c r="C798" s="4">
        <v>4</v>
      </c>
      <c r="D798" s="4">
        <v>1</v>
      </c>
      <c r="E798" s="4">
        <v>1</v>
      </c>
      <c r="F798" s="4">
        <v>0</v>
      </c>
      <c r="G798" s="4">
        <v>1</v>
      </c>
      <c r="H798" s="4">
        <v>0</v>
      </c>
      <c r="I798" s="4" t="s">
        <v>1</v>
      </c>
      <c r="K7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0.20075382389453755</v>
      </c>
    </row>
    <row r="799" spans="1:11" x14ac:dyDescent="0.3">
      <c r="A799" s="4">
        <v>34</v>
      </c>
      <c r="B799" s="4">
        <v>500000</v>
      </c>
      <c r="C799" s="4">
        <v>6</v>
      </c>
      <c r="D799" s="4">
        <v>0</v>
      </c>
      <c r="E799" s="4">
        <v>1</v>
      </c>
      <c r="F799" s="4">
        <v>0</v>
      </c>
      <c r="G799" s="4">
        <v>0</v>
      </c>
      <c r="H799" s="4">
        <v>0</v>
      </c>
      <c r="I799" s="4" t="s">
        <v>1</v>
      </c>
      <c r="K7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0.18377205129263013</v>
      </c>
    </row>
    <row r="800" spans="1:11" x14ac:dyDescent="0.3">
      <c r="A800" s="4">
        <v>33</v>
      </c>
      <c r="B800" s="4">
        <v>700000</v>
      </c>
      <c r="C800" s="4">
        <v>4</v>
      </c>
      <c r="D800" s="4">
        <v>1</v>
      </c>
      <c r="E800" s="4">
        <v>1</v>
      </c>
      <c r="F800" s="4">
        <v>0</v>
      </c>
      <c r="G800" s="4">
        <v>0</v>
      </c>
      <c r="H800" s="4">
        <v>1</v>
      </c>
      <c r="I800" s="4" t="s">
        <v>1</v>
      </c>
      <c r="K8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0.52641009232904001</v>
      </c>
    </row>
    <row r="801" spans="1:11" x14ac:dyDescent="0.3">
      <c r="A801" s="4">
        <v>28</v>
      </c>
      <c r="B801" s="4">
        <v>300000</v>
      </c>
      <c r="C801" s="4">
        <v>3</v>
      </c>
      <c r="D801" s="4">
        <v>1</v>
      </c>
      <c r="E801" s="4">
        <v>1</v>
      </c>
      <c r="F801" s="4">
        <v>1</v>
      </c>
      <c r="G801" s="4">
        <v>0</v>
      </c>
      <c r="H801" s="4">
        <v>0</v>
      </c>
      <c r="I801" s="4" t="s">
        <v>1</v>
      </c>
      <c r="K8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-1.6979388071167729E-2</v>
      </c>
    </row>
    <row r="802" spans="1:11" x14ac:dyDescent="0.3">
      <c r="A802" s="4">
        <v>28</v>
      </c>
      <c r="B802" s="4">
        <v>800000</v>
      </c>
      <c r="C802" s="4">
        <v>4</v>
      </c>
      <c r="D802" s="4">
        <v>0</v>
      </c>
      <c r="E802" s="4">
        <v>1</v>
      </c>
      <c r="F802" s="4">
        <v>1</v>
      </c>
      <c r="G802" s="4">
        <v>0</v>
      </c>
      <c r="H802" s="4">
        <v>0</v>
      </c>
      <c r="I802" s="4" t="s">
        <v>1</v>
      </c>
      <c r="K8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0.17416614366491953</v>
      </c>
    </row>
    <row r="803" spans="1:11" x14ac:dyDescent="0.3">
      <c r="A803" s="4">
        <v>34</v>
      </c>
      <c r="B803" s="4">
        <v>500000</v>
      </c>
      <c r="C803" s="4">
        <v>4</v>
      </c>
      <c r="D803" s="4">
        <v>0</v>
      </c>
      <c r="E803" s="4">
        <v>1</v>
      </c>
      <c r="F803" s="4">
        <v>0</v>
      </c>
      <c r="G803" s="4">
        <v>0</v>
      </c>
      <c r="H803" s="4">
        <v>0</v>
      </c>
      <c r="I803" s="4" t="s">
        <v>1</v>
      </c>
      <c r="K8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0.14924066657244955</v>
      </c>
    </row>
    <row r="804" spans="1:11" x14ac:dyDescent="0.3">
      <c r="A804" s="4">
        <v>32</v>
      </c>
      <c r="B804" s="4">
        <v>350000</v>
      </c>
      <c r="C804" s="4">
        <v>5</v>
      </c>
      <c r="D804" s="4">
        <v>1</v>
      </c>
      <c r="E804" s="4">
        <v>1</v>
      </c>
      <c r="F804" s="4">
        <v>0</v>
      </c>
      <c r="G804" s="4">
        <v>0</v>
      </c>
      <c r="H804" s="4">
        <v>0</v>
      </c>
      <c r="I804" s="4" t="s">
        <v>1</v>
      </c>
      <c r="K8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7.2515921863032531E-2</v>
      </c>
    </row>
    <row r="805" spans="1:11" x14ac:dyDescent="0.3">
      <c r="A805" s="4">
        <v>32</v>
      </c>
      <c r="B805" s="4">
        <v>350000</v>
      </c>
      <c r="C805" s="4">
        <v>3</v>
      </c>
      <c r="D805" s="4">
        <v>1</v>
      </c>
      <c r="E805" s="4">
        <v>1</v>
      </c>
      <c r="F805" s="4">
        <v>0</v>
      </c>
      <c r="G805" s="4">
        <v>0</v>
      </c>
      <c r="H805" s="4">
        <v>0</v>
      </c>
      <c r="I805" s="4" t="s">
        <v>1</v>
      </c>
      <c r="K8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3.7984537142851924E-2</v>
      </c>
    </row>
    <row r="806" spans="1:11" x14ac:dyDescent="0.3">
      <c r="A806" s="4">
        <v>28</v>
      </c>
      <c r="B806" s="4">
        <v>700000</v>
      </c>
      <c r="C806" s="4">
        <v>4</v>
      </c>
      <c r="D806" s="4">
        <v>0</v>
      </c>
      <c r="E806" s="4">
        <v>1</v>
      </c>
      <c r="F806" s="4">
        <v>0</v>
      </c>
      <c r="G806" s="4">
        <v>0</v>
      </c>
      <c r="H806" s="4">
        <v>0</v>
      </c>
      <c r="I806" s="4" t="s">
        <v>1</v>
      </c>
      <c r="K8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0.12870717665675097</v>
      </c>
    </row>
    <row r="807" spans="1:11" x14ac:dyDescent="0.3">
      <c r="A807" s="4">
        <v>29</v>
      </c>
      <c r="B807" s="4">
        <v>1350000</v>
      </c>
      <c r="C807" s="4">
        <v>4</v>
      </c>
      <c r="D807" s="4">
        <v>0</v>
      </c>
      <c r="E807" s="4">
        <v>1</v>
      </c>
      <c r="F807" s="4">
        <v>0</v>
      </c>
      <c r="G807" s="4">
        <v>0</v>
      </c>
      <c r="H807" s="4">
        <v>1</v>
      </c>
      <c r="I807" s="4" t="s">
        <v>1</v>
      </c>
      <c r="K8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0.69170293248349612</v>
      </c>
    </row>
    <row r="808" spans="1:11" x14ac:dyDescent="0.3">
      <c r="A808" s="4">
        <v>25</v>
      </c>
      <c r="B808" s="4">
        <v>1150000</v>
      </c>
      <c r="C808" s="4">
        <v>5</v>
      </c>
      <c r="D808" s="4">
        <v>0</v>
      </c>
      <c r="E808" s="4">
        <v>0</v>
      </c>
      <c r="F808" s="4">
        <v>0</v>
      </c>
      <c r="G808" s="4">
        <v>0</v>
      </c>
      <c r="H808" s="4">
        <v>0</v>
      </c>
      <c r="I808" s="4" t="s">
        <v>1</v>
      </c>
      <c r="K8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0.32368885871506881</v>
      </c>
    </row>
    <row r="809" spans="1:11" x14ac:dyDescent="0.3">
      <c r="A809" s="4">
        <v>26</v>
      </c>
      <c r="B809" s="4">
        <v>1400000</v>
      </c>
      <c r="C809" s="4">
        <v>7</v>
      </c>
      <c r="D809" s="4">
        <v>0</v>
      </c>
      <c r="E809" s="4">
        <v>1</v>
      </c>
      <c r="F809" s="4">
        <v>1</v>
      </c>
      <c r="G809" s="4">
        <v>1</v>
      </c>
      <c r="H809" s="4">
        <v>1</v>
      </c>
      <c r="I809" s="4" t="s">
        <v>1</v>
      </c>
      <c r="K8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0.82396120432349229</v>
      </c>
    </row>
    <row r="810" spans="1:11" x14ac:dyDescent="0.3">
      <c r="A810" s="4">
        <v>27</v>
      </c>
      <c r="B810" s="4">
        <v>1000000</v>
      </c>
      <c r="C810" s="4">
        <v>6</v>
      </c>
      <c r="D810" s="4">
        <v>0</v>
      </c>
      <c r="E810" s="4">
        <v>0</v>
      </c>
      <c r="F810" s="4">
        <v>0</v>
      </c>
      <c r="G810" s="4">
        <v>0</v>
      </c>
      <c r="H810" s="4">
        <v>0</v>
      </c>
      <c r="I810" s="4" t="s">
        <v>1</v>
      </c>
      <c r="K8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0.32228907743576779</v>
      </c>
    </row>
    <row r="811" spans="1:11" x14ac:dyDescent="0.3">
      <c r="A811" s="4">
        <v>32</v>
      </c>
      <c r="B811" s="4">
        <v>900000</v>
      </c>
      <c r="C811" s="4">
        <v>6</v>
      </c>
      <c r="D811" s="4">
        <v>1</v>
      </c>
      <c r="E811" s="4">
        <v>1</v>
      </c>
      <c r="F811" s="4">
        <v>1</v>
      </c>
      <c r="G811" s="4">
        <v>0</v>
      </c>
      <c r="H811" s="4">
        <v>0</v>
      </c>
      <c r="I811" s="4" t="s">
        <v>1</v>
      </c>
      <c r="K8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0.27299442073226238</v>
      </c>
    </row>
    <row r="812" spans="1:11" x14ac:dyDescent="0.3">
      <c r="A812" s="4">
        <v>25</v>
      </c>
      <c r="B812" s="4">
        <v>750000</v>
      </c>
      <c r="C812" s="4">
        <v>6</v>
      </c>
      <c r="D812" s="4">
        <v>1</v>
      </c>
      <c r="E812" s="4">
        <v>1</v>
      </c>
      <c r="F812" s="4">
        <v>0</v>
      </c>
      <c r="G812" s="4">
        <v>0</v>
      </c>
      <c r="H812" s="4">
        <v>0</v>
      </c>
      <c r="I812" s="4" t="s">
        <v>1</v>
      </c>
      <c r="K8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0.11684581654405625</v>
      </c>
    </row>
    <row r="813" spans="1:11" x14ac:dyDescent="0.3">
      <c r="A813" s="4">
        <v>29</v>
      </c>
      <c r="B813" s="4">
        <v>600000</v>
      </c>
      <c r="C813" s="4">
        <v>4</v>
      </c>
      <c r="D813" s="4">
        <v>0</v>
      </c>
      <c r="E813" s="4">
        <v>1</v>
      </c>
      <c r="F813" s="4">
        <v>0</v>
      </c>
      <c r="G813" s="4">
        <v>0</v>
      </c>
      <c r="H813" s="4">
        <v>0</v>
      </c>
      <c r="I813" s="4" t="s">
        <v>1</v>
      </c>
      <c r="K8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0.11172144875366798</v>
      </c>
    </row>
    <row r="814" spans="1:11" x14ac:dyDescent="0.3">
      <c r="A814" s="4">
        <v>28</v>
      </c>
      <c r="B814" s="4">
        <v>750000</v>
      </c>
      <c r="C814" s="4">
        <v>4</v>
      </c>
      <c r="D814" s="4">
        <v>0</v>
      </c>
      <c r="E814" s="4">
        <v>1</v>
      </c>
      <c r="F814" s="4">
        <v>0</v>
      </c>
      <c r="G814" s="4">
        <v>0</v>
      </c>
      <c r="H814" s="4">
        <v>0</v>
      </c>
      <c r="I814" s="4" t="s">
        <v>1</v>
      </c>
      <c r="K8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0.1440131588235255</v>
      </c>
    </row>
    <row r="815" spans="1:11" x14ac:dyDescent="0.3">
      <c r="A815" s="4">
        <v>33</v>
      </c>
      <c r="B815" s="4">
        <v>400000</v>
      </c>
      <c r="C815" s="4">
        <v>6</v>
      </c>
      <c r="D815" s="4">
        <v>1</v>
      </c>
      <c r="E815" s="4">
        <v>1</v>
      </c>
      <c r="F815" s="4">
        <v>0</v>
      </c>
      <c r="G815" s="4">
        <v>0</v>
      </c>
      <c r="H815" s="4">
        <v>0</v>
      </c>
      <c r="I815" s="4" t="s">
        <v>1</v>
      </c>
      <c r="K8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0.11871383282036348</v>
      </c>
    </row>
    <row r="816" spans="1:11" x14ac:dyDescent="0.3">
      <c r="A816" s="4">
        <v>33</v>
      </c>
      <c r="B816" s="4">
        <v>600000</v>
      </c>
      <c r="C816" s="4">
        <v>4</v>
      </c>
      <c r="D816" s="4">
        <v>1</v>
      </c>
      <c r="E816" s="4">
        <v>1</v>
      </c>
      <c r="F816" s="4">
        <v>0</v>
      </c>
      <c r="G816" s="4">
        <v>0</v>
      </c>
      <c r="H816" s="4">
        <v>0</v>
      </c>
      <c r="I816" s="4" t="s">
        <v>1</v>
      </c>
      <c r="K8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0.14540637676728108</v>
      </c>
    </row>
    <row r="817" spans="1:11" x14ac:dyDescent="0.3">
      <c r="A817" s="4">
        <v>28</v>
      </c>
      <c r="B817" s="4">
        <v>1200000</v>
      </c>
      <c r="C817" s="4">
        <v>3</v>
      </c>
      <c r="D817" s="4">
        <v>0</v>
      </c>
      <c r="E817" s="4">
        <v>1</v>
      </c>
      <c r="F817" s="4">
        <v>0</v>
      </c>
      <c r="G817" s="4">
        <v>0</v>
      </c>
      <c r="H817" s="4">
        <v>0</v>
      </c>
      <c r="I817" s="4" t="s">
        <v>1</v>
      </c>
      <c r="K8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0.26450130596440613</v>
      </c>
    </row>
    <row r="818" spans="1:11" x14ac:dyDescent="0.3">
      <c r="A818" s="4">
        <v>25</v>
      </c>
      <c r="B818" s="4">
        <v>1750000</v>
      </c>
      <c r="C818" s="4">
        <v>3</v>
      </c>
      <c r="D818" s="4">
        <v>0</v>
      </c>
      <c r="E818" s="4">
        <v>1</v>
      </c>
      <c r="F818" s="4">
        <v>0</v>
      </c>
      <c r="G818" s="4">
        <v>0</v>
      </c>
      <c r="H818" s="4">
        <v>1</v>
      </c>
      <c r="I818" s="4" t="s">
        <v>1</v>
      </c>
      <c r="K8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0.74238015173573768</v>
      </c>
    </row>
    <row r="819" spans="1:11" x14ac:dyDescent="0.3">
      <c r="A819" s="4">
        <v>28</v>
      </c>
      <c r="B819" s="4">
        <v>800000</v>
      </c>
      <c r="C819" s="4">
        <v>4</v>
      </c>
      <c r="D819" s="4">
        <v>0</v>
      </c>
      <c r="E819" s="4">
        <v>1</v>
      </c>
      <c r="F819" s="4">
        <v>0</v>
      </c>
      <c r="G819" s="4">
        <v>0</v>
      </c>
      <c r="H819" s="4">
        <v>0</v>
      </c>
      <c r="I819" s="4" t="s">
        <v>1</v>
      </c>
      <c r="K8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0.15931914099030009</v>
      </c>
    </row>
    <row r="820" spans="1:11" x14ac:dyDescent="0.3">
      <c r="A820" s="4">
        <v>28</v>
      </c>
      <c r="B820" s="4">
        <v>750000</v>
      </c>
      <c r="C820" s="4">
        <v>6</v>
      </c>
      <c r="D820" s="4">
        <v>0</v>
      </c>
      <c r="E820" s="4">
        <v>1</v>
      </c>
      <c r="F820" s="4">
        <v>1</v>
      </c>
      <c r="G820" s="4">
        <v>0</v>
      </c>
      <c r="H820" s="4">
        <v>0</v>
      </c>
      <c r="I820" s="4" t="s">
        <v>1</v>
      </c>
      <c r="K8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0.19339154621832552</v>
      </c>
    </row>
    <row r="821" spans="1:11" x14ac:dyDescent="0.3">
      <c r="A821" s="4">
        <v>29</v>
      </c>
      <c r="B821" s="4">
        <v>500000</v>
      </c>
      <c r="C821" s="4">
        <v>4</v>
      </c>
      <c r="D821" s="4">
        <v>0</v>
      </c>
      <c r="E821" s="4">
        <v>1</v>
      </c>
      <c r="F821" s="4">
        <v>0</v>
      </c>
      <c r="G821" s="4">
        <v>0</v>
      </c>
      <c r="H821" s="4">
        <v>0</v>
      </c>
      <c r="I821" s="4" t="s">
        <v>1</v>
      </c>
      <c r="K8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8.110948442011888E-2</v>
      </c>
    </row>
    <row r="822" spans="1:11" x14ac:dyDescent="0.3">
      <c r="A822" s="4">
        <v>34</v>
      </c>
      <c r="B822" s="4">
        <v>850000</v>
      </c>
      <c r="C822" s="4">
        <v>2</v>
      </c>
      <c r="D822" s="4">
        <v>0</v>
      </c>
      <c r="E822" s="4">
        <v>1</v>
      </c>
      <c r="F822" s="4">
        <v>0</v>
      </c>
      <c r="G822" s="4">
        <v>0</v>
      </c>
      <c r="H822" s="4">
        <v>0</v>
      </c>
      <c r="I822" s="4" t="s">
        <v>1</v>
      </c>
      <c r="K8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0.22185115701969077</v>
      </c>
    </row>
    <row r="823" spans="1:11" x14ac:dyDescent="0.3">
      <c r="A823" s="4">
        <v>27</v>
      </c>
      <c r="B823" s="4">
        <v>500000</v>
      </c>
      <c r="C823" s="4">
        <v>4</v>
      </c>
      <c r="D823" s="4">
        <v>1</v>
      </c>
      <c r="E823" s="4">
        <v>1</v>
      </c>
      <c r="F823" s="4">
        <v>0</v>
      </c>
      <c r="G823" s="4">
        <v>0</v>
      </c>
      <c r="H823" s="4">
        <v>0</v>
      </c>
      <c r="I823" s="4" t="s">
        <v>1</v>
      </c>
      <c r="K8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3.3036993850935212E-2</v>
      </c>
    </row>
    <row r="824" spans="1:11" x14ac:dyDescent="0.3">
      <c r="A824" s="4">
        <v>28</v>
      </c>
      <c r="B824" s="4">
        <v>1150000</v>
      </c>
      <c r="C824" s="4">
        <v>6</v>
      </c>
      <c r="D824" s="4">
        <v>0</v>
      </c>
      <c r="E824" s="4">
        <v>1</v>
      </c>
      <c r="F824" s="4">
        <v>1</v>
      </c>
      <c r="G824" s="4">
        <v>0</v>
      </c>
      <c r="H824" s="4">
        <v>0</v>
      </c>
      <c r="I824" s="4" t="s">
        <v>1</v>
      </c>
      <c r="K8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0.31583940355252199</v>
      </c>
    </row>
    <row r="825" spans="1:11" x14ac:dyDescent="0.3">
      <c r="A825" s="4">
        <v>27</v>
      </c>
      <c r="B825" s="4">
        <v>750000</v>
      </c>
      <c r="C825" s="4">
        <v>5</v>
      </c>
      <c r="D825" s="4">
        <v>1</v>
      </c>
      <c r="E825" s="4">
        <v>1</v>
      </c>
      <c r="F825" s="4">
        <v>0</v>
      </c>
      <c r="G825" s="4">
        <v>0</v>
      </c>
      <c r="H825" s="4">
        <v>0</v>
      </c>
      <c r="I825" s="4" t="s">
        <v>1</v>
      </c>
      <c r="K8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0.12683259704489824</v>
      </c>
    </row>
    <row r="826" spans="1:11" x14ac:dyDescent="0.3">
      <c r="A826" s="4">
        <v>25</v>
      </c>
      <c r="B826" s="4">
        <v>1700000</v>
      </c>
      <c r="C826" s="4">
        <v>5</v>
      </c>
      <c r="D826" s="4">
        <v>0</v>
      </c>
      <c r="E826" s="4">
        <v>0</v>
      </c>
      <c r="F826" s="4">
        <v>0</v>
      </c>
      <c r="G826" s="4">
        <v>1</v>
      </c>
      <c r="H826" s="4">
        <v>1</v>
      </c>
      <c r="I826" s="4" t="s">
        <v>1</v>
      </c>
      <c r="K8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0.93363333298752826</v>
      </c>
    </row>
    <row r="827" spans="1:11" x14ac:dyDescent="0.3">
      <c r="A827" s="4">
        <v>28</v>
      </c>
      <c r="B827" s="4">
        <v>1300000</v>
      </c>
      <c r="C827" s="4">
        <v>4</v>
      </c>
      <c r="D827" s="4">
        <v>0</v>
      </c>
      <c r="E827" s="4">
        <v>1</v>
      </c>
      <c r="F827" s="4">
        <v>1</v>
      </c>
      <c r="G827" s="4">
        <v>0</v>
      </c>
      <c r="H827" s="4">
        <v>0</v>
      </c>
      <c r="I827" s="4" t="s">
        <v>1</v>
      </c>
      <c r="K8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0.32722596533266501</v>
      </c>
    </row>
    <row r="828" spans="1:11" x14ac:dyDescent="0.3">
      <c r="A828" s="4">
        <v>26</v>
      </c>
      <c r="B828" s="4">
        <v>500000</v>
      </c>
      <c r="C828" s="4">
        <v>3</v>
      </c>
      <c r="D828" s="4">
        <v>0</v>
      </c>
      <c r="E828" s="4">
        <v>1</v>
      </c>
      <c r="F828" s="4">
        <v>0</v>
      </c>
      <c r="G828" s="4">
        <v>0</v>
      </c>
      <c r="H828" s="4">
        <v>0</v>
      </c>
      <c r="I828" s="4" t="s">
        <v>1</v>
      </c>
      <c r="K8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2.2965082768630227E-2</v>
      </c>
    </row>
    <row r="829" spans="1:11" x14ac:dyDescent="0.3">
      <c r="A829" s="4">
        <v>26</v>
      </c>
      <c r="B829" s="4">
        <v>1300000</v>
      </c>
      <c r="C829" s="4">
        <v>5</v>
      </c>
      <c r="D829" s="4">
        <v>0</v>
      </c>
      <c r="E829" s="4">
        <v>1</v>
      </c>
      <c r="F829" s="4">
        <v>0</v>
      </c>
      <c r="G829" s="4">
        <v>0</v>
      </c>
      <c r="H829" s="4">
        <v>0</v>
      </c>
      <c r="I829" s="4" t="s">
        <v>1</v>
      </c>
      <c r="K8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0.30239218215720365</v>
      </c>
    </row>
    <row r="830" spans="1:11" x14ac:dyDescent="0.3">
      <c r="A830" s="4">
        <v>28</v>
      </c>
      <c r="B830" s="4">
        <v>500000</v>
      </c>
      <c r="C830" s="4">
        <v>3</v>
      </c>
      <c r="D830" s="4">
        <v>0</v>
      </c>
      <c r="E830" s="4">
        <v>1</v>
      </c>
      <c r="F830" s="4">
        <v>0</v>
      </c>
      <c r="G830" s="4">
        <v>0</v>
      </c>
      <c r="H830" s="4">
        <v>0</v>
      </c>
      <c r="I830" s="4" t="s">
        <v>1</v>
      </c>
      <c r="K8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5.0217555629562469E-2</v>
      </c>
    </row>
    <row r="831" spans="1:11" x14ac:dyDescent="0.3">
      <c r="A831" s="4">
        <v>28</v>
      </c>
      <c r="B831" s="4">
        <v>1450000</v>
      </c>
      <c r="C831" s="4">
        <v>5</v>
      </c>
      <c r="D831" s="4">
        <v>0</v>
      </c>
      <c r="E831" s="4">
        <v>1</v>
      </c>
      <c r="F831" s="4">
        <v>0</v>
      </c>
      <c r="G831" s="4">
        <v>1</v>
      </c>
      <c r="H831" s="4">
        <v>1</v>
      </c>
      <c r="I831" s="4" t="s">
        <v>1</v>
      </c>
      <c r="K8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0.81714127195639907</v>
      </c>
    </row>
    <row r="832" spans="1:11" x14ac:dyDescent="0.3">
      <c r="A832" s="4">
        <v>34</v>
      </c>
      <c r="B832" s="4">
        <v>1000000</v>
      </c>
      <c r="C832" s="4">
        <v>6</v>
      </c>
      <c r="D832" s="4">
        <v>0</v>
      </c>
      <c r="E832" s="4">
        <v>1</v>
      </c>
      <c r="F832" s="4">
        <v>1</v>
      </c>
      <c r="G832" s="4">
        <v>0</v>
      </c>
      <c r="H832" s="4">
        <v>0</v>
      </c>
      <c r="I832" s="4" t="s">
        <v>1</v>
      </c>
      <c r="K8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0.35167887563499511</v>
      </c>
    </row>
    <row r="833" spans="1:11" x14ac:dyDescent="0.3">
      <c r="A833" s="4">
        <v>32</v>
      </c>
      <c r="B833" s="4">
        <v>350000</v>
      </c>
      <c r="C833" s="4">
        <v>3</v>
      </c>
      <c r="D833" s="4">
        <v>1</v>
      </c>
      <c r="E833" s="4">
        <v>1</v>
      </c>
      <c r="F833" s="4">
        <v>1</v>
      </c>
      <c r="G833" s="4">
        <v>0</v>
      </c>
      <c r="H833" s="4">
        <v>0</v>
      </c>
      <c r="I833" s="4" t="s">
        <v>1</v>
      </c>
      <c r="K8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5.2831539817471372E-2</v>
      </c>
    </row>
    <row r="834" spans="1:11" x14ac:dyDescent="0.3">
      <c r="A834" s="4">
        <v>34</v>
      </c>
      <c r="B834" s="4">
        <v>1300000</v>
      </c>
      <c r="C834" s="4">
        <v>2</v>
      </c>
      <c r="D834" s="4">
        <v>1</v>
      </c>
      <c r="E834" s="4">
        <v>1</v>
      </c>
      <c r="F834" s="4">
        <v>0</v>
      </c>
      <c r="G834" s="4">
        <v>0</v>
      </c>
      <c r="H834" s="4">
        <v>0</v>
      </c>
      <c r="I834" s="4" t="s">
        <v>1</v>
      </c>
      <c r="K8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0.33878497881241032</v>
      </c>
    </row>
    <row r="835" spans="1:11" x14ac:dyDescent="0.3">
      <c r="A835" s="4">
        <v>26</v>
      </c>
      <c r="B835" s="4">
        <v>1400000</v>
      </c>
      <c r="C835" s="4">
        <v>4</v>
      </c>
      <c r="D835" s="4">
        <v>0</v>
      </c>
      <c r="E835" s="4">
        <v>1</v>
      </c>
      <c r="F835" s="4">
        <v>1</v>
      </c>
      <c r="G835" s="4">
        <v>0</v>
      </c>
      <c r="H835" s="4">
        <v>1</v>
      </c>
      <c r="I835" s="4" t="s">
        <v>1</v>
      </c>
      <c r="K8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0.68097720803349182</v>
      </c>
    </row>
    <row r="836" spans="1:11" x14ac:dyDescent="0.3">
      <c r="A836" s="4">
        <v>31</v>
      </c>
      <c r="B836" s="4">
        <v>1250000</v>
      </c>
      <c r="C836" s="4">
        <v>6</v>
      </c>
      <c r="D836" s="4">
        <v>0</v>
      </c>
      <c r="E836" s="4">
        <v>1</v>
      </c>
      <c r="F836" s="4">
        <v>0</v>
      </c>
      <c r="G836" s="4">
        <v>0</v>
      </c>
      <c r="H836" s="4">
        <v>0</v>
      </c>
      <c r="I836" s="4" t="s">
        <v>1</v>
      </c>
      <c r="K8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0.37248307450285006</v>
      </c>
    </row>
    <row r="837" spans="1:11" x14ac:dyDescent="0.3">
      <c r="A837" s="4">
        <v>28</v>
      </c>
      <c r="B837" s="4">
        <v>300000</v>
      </c>
      <c r="C837" s="4">
        <v>6</v>
      </c>
      <c r="D837" s="4">
        <v>1</v>
      </c>
      <c r="E837" s="4">
        <v>1</v>
      </c>
      <c r="F837" s="4">
        <v>0</v>
      </c>
      <c r="G837" s="4">
        <v>0</v>
      </c>
      <c r="H837" s="4">
        <v>0</v>
      </c>
      <c r="I837" s="4" t="s">
        <v>1</v>
      </c>
      <c r="K8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1.997068633448372E-2</v>
      </c>
    </row>
    <row r="838" spans="1:11" x14ac:dyDescent="0.3">
      <c r="A838" s="4">
        <v>28</v>
      </c>
      <c r="B838" s="4">
        <v>600000</v>
      </c>
      <c r="C838" s="4">
        <v>4</v>
      </c>
      <c r="D838" s="4">
        <v>1</v>
      </c>
      <c r="E838" s="4">
        <v>1</v>
      </c>
      <c r="F838" s="4">
        <v>1</v>
      </c>
      <c r="G838" s="4">
        <v>0</v>
      </c>
      <c r="H838" s="4">
        <v>0</v>
      </c>
      <c r="I838" s="4" t="s">
        <v>1</v>
      </c>
      <c r="K8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9.2122197289569885E-2</v>
      </c>
    </row>
    <row r="839" spans="1:11" x14ac:dyDescent="0.3">
      <c r="A839" s="4">
        <v>29</v>
      </c>
      <c r="B839" s="4">
        <v>1350000</v>
      </c>
      <c r="C839" s="4">
        <v>5</v>
      </c>
      <c r="D839" s="4">
        <v>0</v>
      </c>
      <c r="E839" s="4">
        <v>1</v>
      </c>
      <c r="F839" s="4">
        <v>0</v>
      </c>
      <c r="G839" s="4">
        <v>0</v>
      </c>
      <c r="H839" s="4">
        <v>1</v>
      </c>
      <c r="I839" s="4" t="s">
        <v>1</v>
      </c>
      <c r="K8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0.70896862484358636</v>
      </c>
    </row>
    <row r="840" spans="1:11" x14ac:dyDescent="0.3">
      <c r="A840" s="4">
        <v>31</v>
      </c>
      <c r="B840" s="4">
        <v>400000</v>
      </c>
      <c r="C840" s="4">
        <v>3</v>
      </c>
      <c r="D840" s="4">
        <v>1</v>
      </c>
      <c r="E840" s="4">
        <v>0</v>
      </c>
      <c r="F840" s="4">
        <v>0</v>
      </c>
      <c r="G840" s="4">
        <v>0</v>
      </c>
      <c r="H840" s="4">
        <v>0</v>
      </c>
      <c r="I840" s="4" t="s">
        <v>1</v>
      </c>
      <c r="K8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0.1205051423678154</v>
      </c>
    </row>
    <row r="841" spans="1:11" x14ac:dyDescent="0.3">
      <c r="A841" s="4">
        <v>27</v>
      </c>
      <c r="B841" s="4">
        <v>750000</v>
      </c>
      <c r="C841" s="4">
        <v>5</v>
      </c>
      <c r="D841" s="4">
        <v>1</v>
      </c>
      <c r="E841" s="4">
        <v>1</v>
      </c>
      <c r="F841" s="4">
        <v>0</v>
      </c>
      <c r="G841" s="4">
        <v>0</v>
      </c>
      <c r="H841" s="4">
        <v>0</v>
      </c>
      <c r="I841" s="4" t="s">
        <v>1</v>
      </c>
      <c r="K8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0.12683259704489824</v>
      </c>
    </row>
    <row r="842" spans="1:11" x14ac:dyDescent="0.3">
      <c r="A842" s="4">
        <v>29</v>
      </c>
      <c r="B842" s="4">
        <v>1200000</v>
      </c>
      <c r="C842" s="4">
        <v>3</v>
      </c>
      <c r="D842" s="4">
        <v>0</v>
      </c>
      <c r="E842" s="4">
        <v>1</v>
      </c>
      <c r="F842" s="4">
        <v>0</v>
      </c>
      <c r="G842" s="4">
        <v>0</v>
      </c>
      <c r="H842" s="4">
        <v>0</v>
      </c>
      <c r="I842" s="4" t="s">
        <v>1</v>
      </c>
      <c r="K8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0.27812754239487225</v>
      </c>
    </row>
    <row r="843" spans="1:11" x14ac:dyDescent="0.3">
      <c r="A843" s="4">
        <v>30</v>
      </c>
      <c r="B843" s="4">
        <v>800000</v>
      </c>
      <c r="C843" s="4">
        <v>4</v>
      </c>
      <c r="D843" s="4">
        <v>0</v>
      </c>
      <c r="E843" s="4">
        <v>0</v>
      </c>
      <c r="F843" s="4">
        <v>0</v>
      </c>
      <c r="G843" s="4">
        <v>0</v>
      </c>
      <c r="H843" s="4">
        <v>0</v>
      </c>
      <c r="I843" s="4" t="s">
        <v>1</v>
      </c>
      <c r="K8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0.26741247333988738</v>
      </c>
    </row>
    <row r="844" spans="1:11" x14ac:dyDescent="0.3">
      <c r="A844" s="4">
        <v>30</v>
      </c>
      <c r="B844" s="4">
        <v>550000</v>
      </c>
      <c r="C844" s="4">
        <v>5</v>
      </c>
      <c r="D844" s="4">
        <v>0</v>
      </c>
      <c r="E844" s="4">
        <v>0</v>
      </c>
      <c r="F844" s="4">
        <v>1</v>
      </c>
      <c r="G844" s="4">
        <v>0</v>
      </c>
      <c r="H844" s="4">
        <v>0</v>
      </c>
      <c r="I844" s="4" t="s">
        <v>1</v>
      </c>
      <c r="K8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0.22299525754072438</v>
      </c>
    </row>
    <row r="845" spans="1:11" x14ac:dyDescent="0.3">
      <c r="A845" s="4">
        <v>31</v>
      </c>
      <c r="B845" s="4">
        <v>1250000</v>
      </c>
      <c r="C845" s="4">
        <v>5</v>
      </c>
      <c r="D845" s="4">
        <v>0</v>
      </c>
      <c r="E845" s="4">
        <v>1</v>
      </c>
      <c r="F845" s="4">
        <v>0</v>
      </c>
      <c r="G845" s="4">
        <v>0</v>
      </c>
      <c r="H845" s="4">
        <v>0</v>
      </c>
      <c r="I845" s="4" t="s">
        <v>1</v>
      </c>
      <c r="K8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0.35521738214275977</v>
      </c>
    </row>
    <row r="846" spans="1:11" x14ac:dyDescent="0.3">
      <c r="A846" s="4">
        <v>28</v>
      </c>
      <c r="B846" s="4">
        <v>750000</v>
      </c>
      <c r="C846" s="4">
        <v>2</v>
      </c>
      <c r="D846" s="4">
        <v>0</v>
      </c>
      <c r="E846" s="4">
        <v>1</v>
      </c>
      <c r="F846" s="4">
        <v>0</v>
      </c>
      <c r="G846" s="4">
        <v>0</v>
      </c>
      <c r="H846" s="4">
        <v>0</v>
      </c>
      <c r="I846" s="4" t="s">
        <v>1</v>
      </c>
      <c r="K8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0.10948177410334493</v>
      </c>
    </row>
    <row r="847" spans="1:11" x14ac:dyDescent="0.3">
      <c r="A847" s="4">
        <v>31</v>
      </c>
      <c r="B847" s="4">
        <v>1250000</v>
      </c>
      <c r="C847" s="4">
        <v>4</v>
      </c>
      <c r="D847" s="4">
        <v>0</v>
      </c>
      <c r="E847" s="4">
        <v>1</v>
      </c>
      <c r="F847" s="4">
        <v>0</v>
      </c>
      <c r="G847" s="4">
        <v>0</v>
      </c>
      <c r="H847" s="4">
        <v>0</v>
      </c>
      <c r="I847" s="4" t="s">
        <v>1</v>
      </c>
      <c r="K8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0.33795168978266943</v>
      </c>
    </row>
    <row r="848" spans="1:11" x14ac:dyDescent="0.3">
      <c r="A848" s="4">
        <v>26</v>
      </c>
      <c r="B848" s="4">
        <v>500000</v>
      </c>
      <c r="C848" s="4">
        <v>5</v>
      </c>
      <c r="D848" s="4">
        <v>0</v>
      </c>
      <c r="E848" s="4">
        <v>1</v>
      </c>
      <c r="F848" s="4">
        <v>0</v>
      </c>
      <c r="G848" s="4">
        <v>0</v>
      </c>
      <c r="H848" s="4">
        <v>0</v>
      </c>
      <c r="I848" s="4" t="s">
        <v>1</v>
      </c>
      <c r="K8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5.7496467488810807E-2</v>
      </c>
    </row>
    <row r="849" spans="1:11" x14ac:dyDescent="0.3">
      <c r="A849" s="4">
        <v>27</v>
      </c>
      <c r="B849" s="4">
        <v>750000</v>
      </c>
      <c r="C849" s="4">
        <v>5</v>
      </c>
      <c r="D849" s="4">
        <v>1</v>
      </c>
      <c r="E849" s="4">
        <v>1</v>
      </c>
      <c r="F849" s="4">
        <v>0</v>
      </c>
      <c r="G849" s="4">
        <v>0</v>
      </c>
      <c r="H849" s="4">
        <v>0</v>
      </c>
      <c r="I849" s="4" t="s">
        <v>1</v>
      </c>
      <c r="K8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0.12683259704489824</v>
      </c>
    </row>
    <row r="850" spans="1:11" x14ac:dyDescent="0.3">
      <c r="A850" s="4">
        <v>28</v>
      </c>
      <c r="B850" s="4">
        <v>1200000</v>
      </c>
      <c r="C850" s="4">
        <v>5</v>
      </c>
      <c r="D850" s="4">
        <v>1</v>
      </c>
      <c r="E850" s="4">
        <v>1</v>
      </c>
      <c r="F850" s="4">
        <v>0</v>
      </c>
      <c r="G850" s="4">
        <v>0</v>
      </c>
      <c r="H850" s="4">
        <v>0</v>
      </c>
      <c r="I850" s="4" t="s">
        <v>1</v>
      </c>
      <c r="K8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0.27821267297633528</v>
      </c>
    </row>
    <row r="851" spans="1:11" x14ac:dyDescent="0.3">
      <c r="A851" s="4">
        <v>33</v>
      </c>
      <c r="B851" s="4">
        <v>600000</v>
      </c>
      <c r="C851" s="4">
        <v>8</v>
      </c>
      <c r="D851" s="4">
        <v>1</v>
      </c>
      <c r="E851" s="4">
        <v>1</v>
      </c>
      <c r="F851" s="4">
        <v>0</v>
      </c>
      <c r="G851" s="4">
        <v>0</v>
      </c>
      <c r="H851" s="4">
        <v>0</v>
      </c>
      <c r="I851" s="4" t="s">
        <v>1</v>
      </c>
      <c r="K8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0.21446914620764229</v>
      </c>
    </row>
    <row r="852" spans="1:11" x14ac:dyDescent="0.3">
      <c r="A852" s="4">
        <v>33</v>
      </c>
      <c r="B852" s="4">
        <v>1750000</v>
      </c>
      <c r="C852" s="4">
        <v>6</v>
      </c>
      <c r="D852" s="4">
        <v>1</v>
      </c>
      <c r="E852" s="4">
        <v>1</v>
      </c>
      <c r="F852" s="4">
        <v>0</v>
      </c>
      <c r="G852" s="4">
        <v>0</v>
      </c>
      <c r="H852" s="4">
        <v>0</v>
      </c>
      <c r="I852" s="4" t="s">
        <v>1</v>
      </c>
      <c r="K8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0.53197535132327634</v>
      </c>
    </row>
    <row r="853" spans="1:11" x14ac:dyDescent="0.3">
      <c r="A853" s="4">
        <v>33</v>
      </c>
      <c r="B853" s="4">
        <v>650000</v>
      </c>
      <c r="C853" s="4">
        <v>5</v>
      </c>
      <c r="D853" s="4">
        <v>1</v>
      </c>
      <c r="E853" s="4">
        <v>1</v>
      </c>
      <c r="F853" s="4">
        <v>0</v>
      </c>
      <c r="G853" s="4">
        <v>1</v>
      </c>
      <c r="H853" s="4">
        <v>0</v>
      </c>
      <c r="I853" s="4" t="s">
        <v>1</v>
      </c>
      <c r="K8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0.26916497050387556</v>
      </c>
    </row>
    <row r="854" spans="1:11" x14ac:dyDescent="0.3">
      <c r="A854" s="4">
        <v>26</v>
      </c>
      <c r="B854" s="4">
        <v>600000</v>
      </c>
      <c r="C854" s="4">
        <v>7</v>
      </c>
      <c r="D854" s="4">
        <v>0</v>
      </c>
      <c r="E854" s="4">
        <v>1</v>
      </c>
      <c r="F854" s="4">
        <v>1</v>
      </c>
      <c r="G854" s="4">
        <v>0</v>
      </c>
      <c r="H854" s="4">
        <v>0</v>
      </c>
      <c r="I854" s="4" t="s">
        <v>1</v>
      </c>
      <c r="K8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0.13748681921715997</v>
      </c>
    </row>
    <row r="855" spans="1:11" x14ac:dyDescent="0.3">
      <c r="A855" s="4">
        <v>29</v>
      </c>
      <c r="B855" s="4">
        <v>500000</v>
      </c>
      <c r="C855" s="4">
        <v>4</v>
      </c>
      <c r="D855" s="4">
        <v>0</v>
      </c>
      <c r="E855" s="4">
        <v>1</v>
      </c>
      <c r="F855" s="4">
        <v>0</v>
      </c>
      <c r="G855" s="4">
        <v>0</v>
      </c>
      <c r="H855" s="4">
        <v>0</v>
      </c>
      <c r="I855" s="4" t="s">
        <v>1</v>
      </c>
      <c r="K8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8.110948442011888E-2</v>
      </c>
    </row>
    <row r="856" spans="1:11" x14ac:dyDescent="0.3">
      <c r="A856" s="4">
        <v>31</v>
      </c>
      <c r="B856" s="4">
        <v>400000</v>
      </c>
      <c r="C856" s="4">
        <v>5</v>
      </c>
      <c r="D856" s="4">
        <v>1</v>
      </c>
      <c r="E856" s="4">
        <v>1</v>
      </c>
      <c r="F856" s="4">
        <v>0</v>
      </c>
      <c r="G856" s="4">
        <v>0</v>
      </c>
      <c r="H856" s="4">
        <v>0</v>
      </c>
      <c r="I856" s="4" t="s">
        <v>1</v>
      </c>
      <c r="K8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7.4195667599340945E-2</v>
      </c>
    </row>
    <row r="857" spans="1:11" x14ac:dyDescent="0.3">
      <c r="A857" s="4">
        <v>33</v>
      </c>
      <c r="B857" s="4">
        <v>550000</v>
      </c>
      <c r="C857" s="4">
        <v>7</v>
      </c>
      <c r="D857" s="4">
        <v>0</v>
      </c>
      <c r="E857" s="4">
        <v>1</v>
      </c>
      <c r="F857" s="4">
        <v>1</v>
      </c>
      <c r="G857" s="4">
        <v>1</v>
      </c>
      <c r="H857" s="4">
        <v>0</v>
      </c>
      <c r="I857" s="4" t="s">
        <v>1</v>
      </c>
      <c r="K8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0.30875141127337791</v>
      </c>
    </row>
    <row r="858" spans="1:11" x14ac:dyDescent="0.3">
      <c r="A858" s="4">
        <v>34</v>
      </c>
      <c r="B858" s="4">
        <v>1100000</v>
      </c>
      <c r="C858" s="4">
        <v>4</v>
      </c>
      <c r="D858" s="4">
        <v>1</v>
      </c>
      <c r="E858" s="4">
        <v>1</v>
      </c>
      <c r="F858" s="4">
        <v>0</v>
      </c>
      <c r="G858" s="4">
        <v>0</v>
      </c>
      <c r="H858" s="4">
        <v>0</v>
      </c>
      <c r="I858" s="4" t="s">
        <v>1</v>
      </c>
      <c r="K8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0.31209243486549271</v>
      </c>
    </row>
    <row r="859" spans="1:11" x14ac:dyDescent="0.3">
      <c r="A859" s="4">
        <v>28</v>
      </c>
      <c r="B859" s="4">
        <v>1100000</v>
      </c>
      <c r="C859" s="4">
        <v>4</v>
      </c>
      <c r="D859" s="4">
        <v>0</v>
      </c>
      <c r="E859" s="4">
        <v>1</v>
      </c>
      <c r="F859" s="4">
        <v>0</v>
      </c>
      <c r="G859" s="4">
        <v>0</v>
      </c>
      <c r="H859" s="4">
        <v>0</v>
      </c>
      <c r="I859" s="4" t="s">
        <v>1</v>
      </c>
      <c r="K8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0.25115503399094741</v>
      </c>
    </row>
    <row r="860" spans="1:11" x14ac:dyDescent="0.3">
      <c r="A860" s="4">
        <v>28</v>
      </c>
      <c r="B860" s="4">
        <v>800000</v>
      </c>
      <c r="C860" s="4">
        <v>3</v>
      </c>
      <c r="D860" s="4">
        <v>0</v>
      </c>
      <c r="E860" s="4">
        <v>1</v>
      </c>
      <c r="F860" s="4">
        <v>0</v>
      </c>
      <c r="G860" s="4">
        <v>0</v>
      </c>
      <c r="H860" s="4">
        <v>0</v>
      </c>
      <c r="I860" s="4" t="s">
        <v>1</v>
      </c>
      <c r="K8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0.1420534486302098</v>
      </c>
    </row>
    <row r="861" spans="1:11" x14ac:dyDescent="0.3">
      <c r="A861" s="4">
        <v>32</v>
      </c>
      <c r="B861" s="4">
        <v>350000</v>
      </c>
      <c r="C861" s="4">
        <v>4</v>
      </c>
      <c r="D861" s="4">
        <v>1</v>
      </c>
      <c r="E861" s="4">
        <v>1</v>
      </c>
      <c r="F861" s="4">
        <v>0</v>
      </c>
      <c r="G861" s="4">
        <v>0</v>
      </c>
      <c r="H861" s="4">
        <v>0</v>
      </c>
      <c r="I861" s="4" t="s">
        <v>1</v>
      </c>
      <c r="K8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5.5250229502942241E-2</v>
      </c>
    </row>
    <row r="862" spans="1:11" x14ac:dyDescent="0.3">
      <c r="A862" s="4">
        <v>29</v>
      </c>
      <c r="B862" s="4">
        <v>1200000</v>
      </c>
      <c r="C862" s="4">
        <v>8</v>
      </c>
      <c r="D862" s="4">
        <v>0</v>
      </c>
      <c r="E862" s="4">
        <v>1</v>
      </c>
      <c r="F862" s="4">
        <v>0</v>
      </c>
      <c r="G862" s="4">
        <v>0</v>
      </c>
      <c r="H862" s="4">
        <v>0</v>
      </c>
      <c r="I862" s="4" t="s">
        <v>1</v>
      </c>
      <c r="K8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0.36445600419532376</v>
      </c>
    </row>
    <row r="863" spans="1:11" x14ac:dyDescent="0.3">
      <c r="A863" s="4">
        <v>34</v>
      </c>
      <c r="B863" s="4">
        <v>1400000</v>
      </c>
      <c r="C863" s="4">
        <v>3</v>
      </c>
      <c r="D863" s="4">
        <v>0</v>
      </c>
      <c r="E863" s="4">
        <v>0</v>
      </c>
      <c r="F863" s="4">
        <v>0</v>
      </c>
      <c r="G863" s="4">
        <v>1</v>
      </c>
      <c r="H863" s="4">
        <v>1</v>
      </c>
      <c r="I863" s="4" t="s">
        <v>1</v>
      </c>
      <c r="K8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0.92990218314089568</v>
      </c>
    </row>
    <row r="864" spans="1:11" x14ac:dyDescent="0.3">
      <c r="A864" s="4">
        <v>30</v>
      </c>
      <c r="B864" s="4">
        <v>550000</v>
      </c>
      <c r="C864" s="4">
        <v>2</v>
      </c>
      <c r="D864" s="4">
        <v>0</v>
      </c>
      <c r="E864" s="4">
        <v>0</v>
      </c>
      <c r="F864" s="4">
        <v>1</v>
      </c>
      <c r="G864" s="4">
        <v>0</v>
      </c>
      <c r="H864" s="4">
        <v>0</v>
      </c>
      <c r="I864" s="4" t="s">
        <v>1</v>
      </c>
      <c r="K8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0.17119818046045351</v>
      </c>
    </row>
    <row r="865" spans="1:11" x14ac:dyDescent="0.3">
      <c r="A865" s="4">
        <v>34</v>
      </c>
      <c r="B865" s="4">
        <v>1500000</v>
      </c>
      <c r="C865" s="4">
        <v>4</v>
      </c>
      <c r="D865" s="4">
        <v>0</v>
      </c>
      <c r="E865" s="4">
        <v>1</v>
      </c>
      <c r="F865" s="4">
        <v>1</v>
      </c>
      <c r="G865" s="4">
        <v>1</v>
      </c>
      <c r="H865" s="4">
        <v>1</v>
      </c>
      <c r="I865" s="4" t="s">
        <v>1</v>
      </c>
      <c r="K8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0.9117859830204994</v>
      </c>
    </row>
    <row r="866" spans="1:11" x14ac:dyDescent="0.3">
      <c r="A866" s="4">
        <v>27</v>
      </c>
      <c r="B866" s="4">
        <v>450000</v>
      </c>
      <c r="C866" s="4">
        <v>3</v>
      </c>
      <c r="D866" s="4">
        <v>0</v>
      </c>
      <c r="E866" s="4">
        <v>0</v>
      </c>
      <c r="F866" s="4">
        <v>0</v>
      </c>
      <c r="G866" s="4">
        <v>0</v>
      </c>
      <c r="H866" s="4">
        <v>0</v>
      </c>
      <c r="I866" s="4" t="s">
        <v>1</v>
      </c>
      <c r="K8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0.10212619652097685</v>
      </c>
    </row>
    <row r="867" spans="1:11" x14ac:dyDescent="0.3">
      <c r="A867" s="4">
        <v>28</v>
      </c>
      <c r="B867" s="4">
        <v>700000</v>
      </c>
      <c r="C867" s="4">
        <v>4</v>
      </c>
      <c r="D867" s="4">
        <v>0</v>
      </c>
      <c r="E867" s="4">
        <v>1</v>
      </c>
      <c r="F867" s="4">
        <v>1</v>
      </c>
      <c r="G867" s="4">
        <v>0</v>
      </c>
      <c r="H867" s="4">
        <v>0</v>
      </c>
      <c r="I867" s="4" t="s">
        <v>1</v>
      </c>
      <c r="K8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0.14355417933137041</v>
      </c>
    </row>
    <row r="868" spans="1:11" x14ac:dyDescent="0.3">
      <c r="A868" s="4">
        <v>28</v>
      </c>
      <c r="B868" s="4">
        <v>1200000</v>
      </c>
      <c r="C868" s="4">
        <v>7</v>
      </c>
      <c r="D868" s="4">
        <v>0</v>
      </c>
      <c r="E868" s="4">
        <v>1</v>
      </c>
      <c r="F868" s="4">
        <v>0</v>
      </c>
      <c r="G868" s="4">
        <v>0</v>
      </c>
      <c r="H868" s="4">
        <v>0</v>
      </c>
      <c r="I868" s="4" t="s">
        <v>1</v>
      </c>
      <c r="K8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0.33356407540476735</v>
      </c>
    </row>
    <row r="869" spans="1:11" x14ac:dyDescent="0.3">
      <c r="A869" s="4">
        <v>28</v>
      </c>
      <c r="B869" s="4">
        <v>1300000</v>
      </c>
      <c r="C869" s="4">
        <v>6</v>
      </c>
      <c r="D869" s="4">
        <v>0</v>
      </c>
      <c r="E869" s="4">
        <v>1</v>
      </c>
      <c r="F869" s="4">
        <v>0</v>
      </c>
      <c r="G869" s="4">
        <v>0</v>
      </c>
      <c r="H869" s="4">
        <v>0</v>
      </c>
      <c r="I869" s="4" t="s">
        <v>1</v>
      </c>
      <c r="K8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0.34691034737822618</v>
      </c>
    </row>
    <row r="870" spans="1:11" x14ac:dyDescent="0.3">
      <c r="A870" s="4">
        <v>28</v>
      </c>
      <c r="B870" s="4">
        <v>750000</v>
      </c>
      <c r="C870" s="4">
        <v>2</v>
      </c>
      <c r="D870" s="4">
        <v>0</v>
      </c>
      <c r="E870" s="4">
        <v>1</v>
      </c>
      <c r="F870" s="4">
        <v>0</v>
      </c>
      <c r="G870" s="4">
        <v>0</v>
      </c>
      <c r="H870" s="4">
        <v>0</v>
      </c>
      <c r="I870" s="4" t="s">
        <v>1</v>
      </c>
      <c r="K8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0.10948177410334493</v>
      </c>
    </row>
    <row r="871" spans="1:11" x14ac:dyDescent="0.3">
      <c r="A871" s="4">
        <v>28</v>
      </c>
      <c r="B871" s="4">
        <v>1450000</v>
      </c>
      <c r="C871" s="4">
        <v>3</v>
      </c>
      <c r="D871" s="4">
        <v>0</v>
      </c>
      <c r="E871" s="4">
        <v>1</v>
      </c>
      <c r="F871" s="4">
        <v>0</v>
      </c>
      <c r="G871" s="4">
        <v>1</v>
      </c>
      <c r="H871" s="4">
        <v>1</v>
      </c>
      <c r="I871" s="4" t="s">
        <v>1</v>
      </c>
      <c r="K8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0.78260988723621838</v>
      </c>
    </row>
    <row r="872" spans="1:11" x14ac:dyDescent="0.3">
      <c r="A872" s="4">
        <v>31</v>
      </c>
      <c r="B872" s="4">
        <v>900000</v>
      </c>
      <c r="C872" s="4">
        <v>5</v>
      </c>
      <c r="D872" s="4">
        <v>0</v>
      </c>
      <c r="E872" s="4">
        <v>1</v>
      </c>
      <c r="F872" s="4">
        <v>0</v>
      </c>
      <c r="G872" s="4">
        <v>1</v>
      </c>
      <c r="H872" s="4">
        <v>0</v>
      </c>
      <c r="I872" s="4" t="s">
        <v>1</v>
      </c>
      <c r="K8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0.33926242618506747</v>
      </c>
    </row>
    <row r="873" spans="1:11" x14ac:dyDescent="0.3">
      <c r="A873" s="4">
        <v>26</v>
      </c>
      <c r="B873" s="4">
        <v>1400000</v>
      </c>
      <c r="C873" s="4">
        <v>9</v>
      </c>
      <c r="D873" s="4">
        <v>0</v>
      </c>
      <c r="E873" s="4">
        <v>1</v>
      </c>
      <c r="F873" s="4">
        <v>1</v>
      </c>
      <c r="G873" s="4">
        <v>0</v>
      </c>
      <c r="H873" s="4">
        <v>1</v>
      </c>
      <c r="I873" s="4" t="s">
        <v>1</v>
      </c>
      <c r="K8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0.76730566983394333</v>
      </c>
    </row>
    <row r="874" spans="1:11" x14ac:dyDescent="0.3">
      <c r="A874" s="4">
        <v>30</v>
      </c>
      <c r="B874" s="4">
        <v>1450000</v>
      </c>
      <c r="C874" s="4">
        <v>6</v>
      </c>
      <c r="D874" s="4">
        <v>0</v>
      </c>
      <c r="E874" s="4">
        <v>0</v>
      </c>
      <c r="F874" s="4">
        <v>0</v>
      </c>
      <c r="G874" s="4">
        <v>1</v>
      </c>
      <c r="H874" s="4">
        <v>1</v>
      </c>
      <c r="I874" s="4" t="s">
        <v>1</v>
      </c>
      <c r="K8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0.9425002966660766</v>
      </c>
    </row>
    <row r="875" spans="1:11" x14ac:dyDescent="0.3">
      <c r="A875" s="4">
        <v>32</v>
      </c>
      <c r="B875" s="4">
        <v>800000</v>
      </c>
      <c r="C875" s="4">
        <v>7</v>
      </c>
      <c r="D875" s="4">
        <v>1</v>
      </c>
      <c r="E875" s="4">
        <v>1</v>
      </c>
      <c r="F875" s="4">
        <v>0</v>
      </c>
      <c r="G875" s="4">
        <v>0</v>
      </c>
      <c r="H875" s="4">
        <v>0</v>
      </c>
      <c r="I875" s="4" t="s">
        <v>1</v>
      </c>
      <c r="K8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0.24480114608418407</v>
      </c>
    </row>
    <row r="876" spans="1:11" x14ac:dyDescent="0.3">
      <c r="A876" s="4">
        <v>32</v>
      </c>
      <c r="B876" s="4">
        <v>800000</v>
      </c>
      <c r="C876" s="4">
        <v>5</v>
      </c>
      <c r="D876" s="4">
        <v>1</v>
      </c>
      <c r="E876" s="4">
        <v>1</v>
      </c>
      <c r="F876" s="4">
        <v>0</v>
      </c>
      <c r="G876" s="4">
        <v>0</v>
      </c>
      <c r="H876" s="4">
        <v>0</v>
      </c>
      <c r="I876" s="4" t="s">
        <v>1</v>
      </c>
      <c r="K8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0.21026976136400349</v>
      </c>
    </row>
    <row r="877" spans="1:11" x14ac:dyDescent="0.3">
      <c r="A877" s="4">
        <v>34</v>
      </c>
      <c r="B877" s="4">
        <v>1050000</v>
      </c>
      <c r="C877" s="4">
        <v>3</v>
      </c>
      <c r="D877" s="4">
        <v>0</v>
      </c>
      <c r="E877" s="4">
        <v>1</v>
      </c>
      <c r="F877" s="4">
        <v>1</v>
      </c>
      <c r="G877" s="4">
        <v>0</v>
      </c>
      <c r="H877" s="4">
        <v>0</v>
      </c>
      <c r="I877" s="4" t="s">
        <v>1</v>
      </c>
      <c r="K8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0.31518778072149872</v>
      </c>
    </row>
    <row r="878" spans="1:11" x14ac:dyDescent="0.3">
      <c r="A878" s="4">
        <v>28</v>
      </c>
      <c r="B878" s="4">
        <v>1200000</v>
      </c>
      <c r="C878" s="4">
        <v>4</v>
      </c>
      <c r="D878" s="4">
        <v>0</v>
      </c>
      <c r="E878" s="4">
        <v>1</v>
      </c>
      <c r="F878" s="4">
        <v>0</v>
      </c>
      <c r="G878" s="4">
        <v>0</v>
      </c>
      <c r="H878" s="4">
        <v>0</v>
      </c>
      <c r="I878" s="4" t="s">
        <v>1</v>
      </c>
      <c r="K8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0.28176699832449648</v>
      </c>
    </row>
    <row r="879" spans="1:11" x14ac:dyDescent="0.3">
      <c r="A879" s="4">
        <v>28</v>
      </c>
      <c r="B879" s="4">
        <v>700000</v>
      </c>
      <c r="C879" s="4">
        <v>7</v>
      </c>
      <c r="D879" s="4">
        <v>0</v>
      </c>
      <c r="E879" s="4">
        <v>1</v>
      </c>
      <c r="F879" s="4">
        <v>0</v>
      </c>
      <c r="G879" s="4">
        <v>0</v>
      </c>
      <c r="H879" s="4">
        <v>0</v>
      </c>
      <c r="I879" s="4" t="s">
        <v>1</v>
      </c>
      <c r="K8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0.18050425373702184</v>
      </c>
    </row>
    <row r="880" spans="1:11" x14ac:dyDescent="0.3">
      <c r="A880" s="4">
        <v>29</v>
      </c>
      <c r="B880" s="4">
        <v>1100000</v>
      </c>
      <c r="C880" s="4">
        <v>4</v>
      </c>
      <c r="D880" s="4">
        <v>0</v>
      </c>
      <c r="E880" s="4">
        <v>1</v>
      </c>
      <c r="F880" s="4">
        <v>0</v>
      </c>
      <c r="G880" s="4">
        <v>0</v>
      </c>
      <c r="H880" s="4">
        <v>0</v>
      </c>
      <c r="I880" s="4" t="s">
        <v>1</v>
      </c>
      <c r="K8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0.26478127042141353</v>
      </c>
    </row>
    <row r="881" spans="1:11" x14ac:dyDescent="0.3">
      <c r="A881" s="4">
        <v>31</v>
      </c>
      <c r="B881" s="4">
        <v>1250000</v>
      </c>
      <c r="C881" s="4">
        <v>7</v>
      </c>
      <c r="D881" s="4">
        <v>0</v>
      </c>
      <c r="E881" s="4">
        <v>1</v>
      </c>
      <c r="F881" s="4">
        <v>0</v>
      </c>
      <c r="G881" s="4">
        <v>0</v>
      </c>
      <c r="H881" s="4">
        <v>0</v>
      </c>
      <c r="I881" s="4" t="s">
        <v>1</v>
      </c>
      <c r="K8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0.38974876686294035</v>
      </c>
    </row>
    <row r="882" spans="1:11" x14ac:dyDescent="0.3">
      <c r="A882" s="4">
        <v>30</v>
      </c>
      <c r="B882" s="4">
        <v>550000</v>
      </c>
      <c r="C882" s="4">
        <v>5</v>
      </c>
      <c r="D882" s="4">
        <v>0</v>
      </c>
      <c r="E882" s="4">
        <v>0</v>
      </c>
      <c r="F882" s="4">
        <v>0</v>
      </c>
      <c r="G882" s="4">
        <v>0</v>
      </c>
      <c r="H882" s="4">
        <v>0</v>
      </c>
      <c r="I882" s="4" t="s">
        <v>1</v>
      </c>
      <c r="K8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0.20814825486610494</v>
      </c>
    </row>
    <row r="883" spans="1:11" x14ac:dyDescent="0.3">
      <c r="A883" s="4">
        <v>28</v>
      </c>
      <c r="B883" s="4">
        <v>800000</v>
      </c>
      <c r="C883" s="4">
        <v>2</v>
      </c>
      <c r="D883" s="4">
        <v>0</v>
      </c>
      <c r="E883" s="4">
        <v>1</v>
      </c>
      <c r="F883" s="4">
        <v>0</v>
      </c>
      <c r="G883" s="4">
        <v>0</v>
      </c>
      <c r="H883" s="4">
        <v>0</v>
      </c>
      <c r="I883" s="4" t="s">
        <v>1</v>
      </c>
      <c r="K8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0.12478775627011947</v>
      </c>
    </row>
    <row r="884" spans="1:11" x14ac:dyDescent="0.3">
      <c r="A884" s="4">
        <v>34</v>
      </c>
      <c r="B884" s="4">
        <v>1500000</v>
      </c>
      <c r="C884" s="4">
        <v>3</v>
      </c>
      <c r="D884" s="4">
        <v>0</v>
      </c>
      <c r="E884" s="4">
        <v>1</v>
      </c>
      <c r="F884" s="4">
        <v>1</v>
      </c>
      <c r="G884" s="4">
        <v>1</v>
      </c>
      <c r="H884" s="4">
        <v>1</v>
      </c>
      <c r="I884" s="4" t="s">
        <v>1</v>
      </c>
      <c r="K8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0.89452029066040917</v>
      </c>
    </row>
    <row r="885" spans="1:11" x14ac:dyDescent="0.3">
      <c r="A885" s="4">
        <v>33</v>
      </c>
      <c r="B885" s="4">
        <v>1500000</v>
      </c>
      <c r="C885" s="4">
        <v>5</v>
      </c>
      <c r="D885" s="4">
        <v>0</v>
      </c>
      <c r="E885" s="4">
        <v>1</v>
      </c>
      <c r="F885" s="4">
        <v>0</v>
      </c>
      <c r="G885" s="4">
        <v>1</v>
      </c>
      <c r="H885" s="4">
        <v>1</v>
      </c>
      <c r="I885" s="4" t="s">
        <v>1</v>
      </c>
      <c r="K8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0.90057843627550416</v>
      </c>
    </row>
    <row r="886" spans="1:11" x14ac:dyDescent="0.3">
      <c r="A886" s="4">
        <v>29</v>
      </c>
      <c r="B886" s="4">
        <v>1200000</v>
      </c>
      <c r="C886" s="4">
        <v>5</v>
      </c>
      <c r="D886" s="4">
        <v>0</v>
      </c>
      <c r="E886" s="4">
        <v>1</v>
      </c>
      <c r="F886" s="4">
        <v>0</v>
      </c>
      <c r="G886" s="4">
        <v>0</v>
      </c>
      <c r="H886" s="4">
        <v>1</v>
      </c>
      <c r="I886" s="4" t="s">
        <v>1</v>
      </c>
      <c r="K8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0.6630506783432627</v>
      </c>
    </row>
    <row r="887" spans="1:11" x14ac:dyDescent="0.3">
      <c r="A887" s="4">
        <v>27</v>
      </c>
      <c r="B887" s="4">
        <v>500000</v>
      </c>
      <c r="C887" s="4">
        <v>5</v>
      </c>
      <c r="D887" s="4">
        <v>1</v>
      </c>
      <c r="E887" s="4">
        <v>1</v>
      </c>
      <c r="F887" s="4">
        <v>0</v>
      </c>
      <c r="G887" s="4">
        <v>0</v>
      </c>
      <c r="H887" s="4">
        <v>0</v>
      </c>
      <c r="I887" s="4" t="s">
        <v>1</v>
      </c>
      <c r="K8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5.0302686211025502E-2</v>
      </c>
    </row>
    <row r="888" spans="1:11" x14ac:dyDescent="0.3">
      <c r="A888" s="4">
        <v>28</v>
      </c>
      <c r="B888" s="4">
        <v>700000</v>
      </c>
      <c r="C888" s="4">
        <v>5</v>
      </c>
      <c r="D888" s="4">
        <v>0</v>
      </c>
      <c r="E888" s="4">
        <v>1</v>
      </c>
      <c r="F888" s="4">
        <v>0</v>
      </c>
      <c r="G888" s="4">
        <v>0</v>
      </c>
      <c r="H888" s="4">
        <v>1</v>
      </c>
      <c r="I888" s="4" t="s">
        <v>1</v>
      </c>
      <c r="K8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0.49636462024505112</v>
      </c>
    </row>
    <row r="889" spans="1:11" x14ac:dyDescent="0.3">
      <c r="A889" s="4">
        <v>34</v>
      </c>
      <c r="B889" s="4">
        <v>1500000</v>
      </c>
      <c r="C889" s="4">
        <v>6</v>
      </c>
      <c r="D889" s="4">
        <v>0</v>
      </c>
      <c r="E889" s="4">
        <v>1</v>
      </c>
      <c r="F889" s="4">
        <v>0</v>
      </c>
      <c r="G889" s="4">
        <v>1</v>
      </c>
      <c r="H889" s="4">
        <v>1</v>
      </c>
      <c r="I889" s="4" t="s">
        <v>1</v>
      </c>
      <c r="K8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0.93147036506606051</v>
      </c>
    </row>
    <row r="890" spans="1:11" x14ac:dyDescent="0.3">
      <c r="A890" s="4">
        <v>25</v>
      </c>
      <c r="B890" s="4">
        <v>1150000</v>
      </c>
      <c r="C890" s="4">
        <v>5</v>
      </c>
      <c r="D890" s="4">
        <v>0</v>
      </c>
      <c r="E890" s="4">
        <v>0</v>
      </c>
      <c r="F890" s="4">
        <v>0</v>
      </c>
      <c r="G890" s="4">
        <v>1</v>
      </c>
      <c r="H890" s="4">
        <v>0</v>
      </c>
      <c r="I890" s="4" t="s">
        <v>1</v>
      </c>
      <c r="K8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0.41487577792479841</v>
      </c>
    </row>
    <row r="891" spans="1:11" x14ac:dyDescent="0.3">
      <c r="A891" s="4">
        <v>33</v>
      </c>
      <c r="B891" s="4">
        <v>650000</v>
      </c>
      <c r="C891" s="4">
        <v>4</v>
      </c>
      <c r="D891" s="4">
        <v>1</v>
      </c>
      <c r="E891" s="4">
        <v>1</v>
      </c>
      <c r="F891" s="4">
        <v>1</v>
      </c>
      <c r="G891" s="4">
        <v>0</v>
      </c>
      <c r="H891" s="4">
        <v>0</v>
      </c>
      <c r="I891" s="4" t="s">
        <v>1</v>
      </c>
      <c r="K8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0.17555936160867505</v>
      </c>
    </row>
    <row r="892" spans="1:11" x14ac:dyDescent="0.3">
      <c r="A892" s="4">
        <v>28</v>
      </c>
      <c r="B892" s="4">
        <v>550000</v>
      </c>
      <c r="C892" s="4">
        <v>7</v>
      </c>
      <c r="D892" s="4">
        <v>0</v>
      </c>
      <c r="E892" s="4">
        <v>0</v>
      </c>
      <c r="F892" s="4">
        <v>0</v>
      </c>
      <c r="G892" s="4">
        <v>0</v>
      </c>
      <c r="H892" s="4">
        <v>0</v>
      </c>
      <c r="I892" s="4" t="s">
        <v>1</v>
      </c>
      <c r="K8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0.21542716672535325</v>
      </c>
    </row>
    <row r="893" spans="1:11" x14ac:dyDescent="0.3">
      <c r="A893" s="4">
        <v>30</v>
      </c>
      <c r="B893" s="4">
        <v>550000</v>
      </c>
      <c r="C893" s="4">
        <v>3</v>
      </c>
      <c r="D893" s="4">
        <v>0</v>
      </c>
      <c r="E893" s="4">
        <v>0</v>
      </c>
      <c r="F893" s="4">
        <v>0</v>
      </c>
      <c r="G893" s="4">
        <v>0</v>
      </c>
      <c r="H893" s="4">
        <v>0</v>
      </c>
      <c r="I893" s="4" t="s">
        <v>1</v>
      </c>
      <c r="K8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0.17361687014592436</v>
      </c>
    </row>
    <row r="894" spans="1:11" x14ac:dyDescent="0.3">
      <c r="A894" s="4">
        <v>28</v>
      </c>
      <c r="B894" s="4">
        <v>1100000</v>
      </c>
      <c r="C894" s="4">
        <v>4</v>
      </c>
      <c r="D894" s="4">
        <v>0</v>
      </c>
      <c r="E894" s="4">
        <v>1</v>
      </c>
      <c r="F894" s="4">
        <v>0</v>
      </c>
      <c r="G894" s="4">
        <v>0</v>
      </c>
      <c r="H894" s="4">
        <v>0</v>
      </c>
      <c r="I894" s="4" t="s">
        <v>1</v>
      </c>
      <c r="K8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0.25115503399094741</v>
      </c>
    </row>
    <row r="895" spans="1:11" x14ac:dyDescent="0.3">
      <c r="A895" s="4">
        <v>28</v>
      </c>
      <c r="B895" s="4">
        <v>300000</v>
      </c>
      <c r="C895" s="4">
        <v>4</v>
      </c>
      <c r="D895" s="4">
        <v>1</v>
      </c>
      <c r="E895" s="4">
        <v>0</v>
      </c>
      <c r="F895" s="4">
        <v>0</v>
      </c>
      <c r="G895" s="4">
        <v>0</v>
      </c>
      <c r="H895" s="4">
        <v>0</v>
      </c>
      <c r="I895" s="4" t="s">
        <v>1</v>
      </c>
      <c r="K8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6.628016110295816E-2</v>
      </c>
    </row>
    <row r="896" spans="1:11" x14ac:dyDescent="0.3">
      <c r="A896" s="4">
        <v>27</v>
      </c>
      <c r="B896" s="4">
        <v>500000</v>
      </c>
      <c r="C896" s="4">
        <v>6</v>
      </c>
      <c r="D896" s="4">
        <v>1</v>
      </c>
      <c r="E896" s="4">
        <v>1</v>
      </c>
      <c r="F896" s="4">
        <v>1</v>
      </c>
      <c r="G896" s="4">
        <v>0</v>
      </c>
      <c r="H896" s="4">
        <v>0</v>
      </c>
      <c r="I896" s="4" t="s">
        <v>1</v>
      </c>
      <c r="K8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8.2415381245735275E-2</v>
      </c>
    </row>
    <row r="897" spans="1:11" x14ac:dyDescent="0.3">
      <c r="A897" s="4">
        <v>28</v>
      </c>
      <c r="B897" s="4">
        <v>1200000</v>
      </c>
      <c r="C897" s="4">
        <v>3</v>
      </c>
      <c r="D897" s="4">
        <v>0</v>
      </c>
      <c r="E897" s="4">
        <v>1</v>
      </c>
      <c r="F897" s="4">
        <v>1</v>
      </c>
      <c r="G897" s="4">
        <v>1</v>
      </c>
      <c r="H897" s="4">
        <v>0</v>
      </c>
      <c r="I897" s="4" t="s">
        <v>1</v>
      </c>
      <c r="K8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0.3705352278487552</v>
      </c>
    </row>
    <row r="898" spans="1:11" x14ac:dyDescent="0.3">
      <c r="A898" s="4">
        <v>28</v>
      </c>
      <c r="B898" s="4">
        <v>1200000</v>
      </c>
      <c r="C898" s="4">
        <v>5</v>
      </c>
      <c r="D898" s="4">
        <v>0</v>
      </c>
      <c r="E898" s="4">
        <v>1</v>
      </c>
      <c r="F898" s="4">
        <v>1</v>
      </c>
      <c r="G898" s="4">
        <v>1</v>
      </c>
      <c r="H898" s="4">
        <v>0</v>
      </c>
      <c r="I898" s="4" t="s">
        <v>1</v>
      </c>
      <c r="K8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0.40506661256893578</v>
      </c>
    </row>
    <row r="899" spans="1:11" x14ac:dyDescent="0.3">
      <c r="A899" s="4">
        <v>33</v>
      </c>
      <c r="B899" s="4">
        <v>550000</v>
      </c>
      <c r="C899" s="4">
        <v>6</v>
      </c>
      <c r="D899" s="4">
        <v>0</v>
      </c>
      <c r="E899" s="4">
        <v>1</v>
      </c>
      <c r="F899" s="4">
        <v>0</v>
      </c>
      <c r="G899" s="4">
        <v>0</v>
      </c>
      <c r="H899" s="4">
        <v>0</v>
      </c>
      <c r="I899" s="4" t="s">
        <v>1</v>
      </c>
      <c r="K8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0.18545179702893855</v>
      </c>
    </row>
    <row r="900" spans="1:11" x14ac:dyDescent="0.3">
      <c r="A900" s="4">
        <v>31</v>
      </c>
      <c r="B900" s="4">
        <v>900000</v>
      </c>
      <c r="C900" s="4">
        <v>4</v>
      </c>
      <c r="D900" s="4">
        <v>0</v>
      </c>
      <c r="E900" s="4">
        <v>1</v>
      </c>
      <c r="F900" s="4">
        <v>0</v>
      </c>
      <c r="G900" s="4">
        <v>0</v>
      </c>
      <c r="H900" s="4">
        <v>0</v>
      </c>
      <c r="I900" s="4" t="s">
        <v>1</v>
      </c>
      <c r="K9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0.23080981461524763</v>
      </c>
    </row>
    <row r="901" spans="1:11" x14ac:dyDescent="0.3">
      <c r="A901" s="4">
        <v>28</v>
      </c>
      <c r="B901" s="4">
        <v>300000</v>
      </c>
      <c r="C901" s="4">
        <v>6</v>
      </c>
      <c r="D901" s="4">
        <v>1</v>
      </c>
      <c r="E901" s="4">
        <v>1</v>
      </c>
      <c r="F901" s="4">
        <v>0</v>
      </c>
      <c r="G901" s="4">
        <v>0</v>
      </c>
      <c r="H901" s="4">
        <v>0</v>
      </c>
      <c r="I901" s="4" t="s">
        <v>1</v>
      </c>
      <c r="K9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1.997068633448372E-2</v>
      </c>
    </row>
    <row r="902" spans="1:11" x14ac:dyDescent="0.3">
      <c r="A902" s="4">
        <v>28</v>
      </c>
      <c r="B902" s="4">
        <v>300000</v>
      </c>
      <c r="C902" s="4">
        <v>3</v>
      </c>
      <c r="D902" s="4">
        <v>1</v>
      </c>
      <c r="E902" s="4">
        <v>1</v>
      </c>
      <c r="F902" s="4">
        <v>0</v>
      </c>
      <c r="G902" s="4">
        <v>0</v>
      </c>
      <c r="H902" s="4">
        <v>0</v>
      </c>
      <c r="I902" s="4" t="s">
        <v>1</v>
      </c>
      <c r="K9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-3.1826390745787178E-2</v>
      </c>
    </row>
    <row r="903" spans="1:11" x14ac:dyDescent="0.3">
      <c r="A903" s="4">
        <v>25</v>
      </c>
      <c r="B903" s="4">
        <v>1700000</v>
      </c>
      <c r="C903" s="4">
        <v>2</v>
      </c>
      <c r="D903" s="4">
        <v>0</v>
      </c>
      <c r="E903" s="4">
        <v>1</v>
      </c>
      <c r="F903" s="4">
        <v>1</v>
      </c>
      <c r="G903" s="4">
        <v>1</v>
      </c>
      <c r="H903" s="4">
        <v>0</v>
      </c>
      <c r="I903" s="4" t="s">
        <v>1</v>
      </c>
      <c r="K9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0.465450647865012</v>
      </c>
    </row>
    <row r="904" spans="1:11" x14ac:dyDescent="0.3">
      <c r="A904" s="4">
        <v>28</v>
      </c>
      <c r="B904" s="4">
        <v>1450000</v>
      </c>
      <c r="C904" s="4">
        <v>4</v>
      </c>
      <c r="D904" s="4">
        <v>0</v>
      </c>
      <c r="E904" s="4">
        <v>1</v>
      </c>
      <c r="F904" s="4">
        <v>0</v>
      </c>
      <c r="G904" s="4">
        <v>1</v>
      </c>
      <c r="H904" s="4">
        <v>1</v>
      </c>
      <c r="I904" s="4" t="s">
        <v>1</v>
      </c>
      <c r="K9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0.79987557959630862</v>
      </c>
    </row>
    <row r="905" spans="1:11" x14ac:dyDescent="0.3">
      <c r="A905" s="4">
        <v>28</v>
      </c>
      <c r="B905" s="4">
        <v>750000</v>
      </c>
      <c r="C905" s="4">
        <v>3</v>
      </c>
      <c r="D905" s="4">
        <v>0</v>
      </c>
      <c r="E905" s="4">
        <v>1</v>
      </c>
      <c r="F905" s="4">
        <v>0</v>
      </c>
      <c r="G905" s="4">
        <v>0</v>
      </c>
      <c r="H905" s="4">
        <v>0</v>
      </c>
      <c r="I905" s="4" t="s">
        <v>1</v>
      </c>
      <c r="K9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0.12674746646343521</v>
      </c>
    </row>
    <row r="906" spans="1:11" x14ac:dyDescent="0.3">
      <c r="A906" s="4">
        <v>31</v>
      </c>
      <c r="B906" s="4">
        <v>900000</v>
      </c>
      <c r="C906" s="4">
        <v>5</v>
      </c>
      <c r="D906" s="4">
        <v>0</v>
      </c>
      <c r="E906" s="4">
        <v>1</v>
      </c>
      <c r="F906" s="4">
        <v>1</v>
      </c>
      <c r="G906" s="4">
        <v>1</v>
      </c>
      <c r="H906" s="4">
        <v>0</v>
      </c>
      <c r="I906" s="4" t="s">
        <v>1</v>
      </c>
      <c r="K9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0.35410942885968694</v>
      </c>
    </row>
    <row r="907" spans="1:11" x14ac:dyDescent="0.3">
      <c r="A907" s="4">
        <v>25</v>
      </c>
      <c r="B907" s="4">
        <v>1400000</v>
      </c>
      <c r="C907" s="4">
        <v>4</v>
      </c>
      <c r="D907" s="4">
        <v>0</v>
      </c>
      <c r="E907" s="4">
        <v>1</v>
      </c>
      <c r="F907" s="4">
        <v>0</v>
      </c>
      <c r="G907" s="4">
        <v>1</v>
      </c>
      <c r="H907" s="4">
        <v>1</v>
      </c>
      <c r="I907" s="4" t="s">
        <v>1</v>
      </c>
      <c r="K9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0.74369088813813566</v>
      </c>
    </row>
    <row r="908" spans="1:11" x14ac:dyDescent="0.3">
      <c r="A908" s="4">
        <v>30</v>
      </c>
      <c r="B908" s="4">
        <v>550000</v>
      </c>
      <c r="C908" s="4">
        <v>5</v>
      </c>
      <c r="D908" s="4">
        <v>0</v>
      </c>
      <c r="E908" s="4">
        <v>0</v>
      </c>
      <c r="F908" s="4">
        <v>0</v>
      </c>
      <c r="G908" s="4">
        <v>1</v>
      </c>
      <c r="H908" s="4">
        <v>0</v>
      </c>
      <c r="I908" s="4" t="s">
        <v>1</v>
      </c>
      <c r="K9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0.29933517407583454</v>
      </c>
    </row>
    <row r="909" spans="1:11" x14ac:dyDescent="0.3">
      <c r="A909" s="4">
        <v>28</v>
      </c>
      <c r="B909" s="4">
        <v>300000</v>
      </c>
      <c r="C909" s="4">
        <v>3</v>
      </c>
      <c r="D909" s="4">
        <v>1</v>
      </c>
      <c r="E909" s="4">
        <v>1</v>
      </c>
      <c r="F909" s="4">
        <v>0</v>
      </c>
      <c r="G909" s="4">
        <v>0</v>
      </c>
      <c r="H909" s="4">
        <v>0</v>
      </c>
      <c r="I909" s="4" t="s">
        <v>1</v>
      </c>
      <c r="K9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-3.1826390745787178E-2</v>
      </c>
    </row>
    <row r="910" spans="1:11" x14ac:dyDescent="0.3">
      <c r="A910" s="4">
        <v>25</v>
      </c>
      <c r="B910" s="4">
        <v>1700000</v>
      </c>
      <c r="C910" s="4">
        <v>5</v>
      </c>
      <c r="D910" s="4">
        <v>0</v>
      </c>
      <c r="E910" s="4">
        <v>0</v>
      </c>
      <c r="F910" s="4">
        <v>0</v>
      </c>
      <c r="G910" s="4">
        <v>1</v>
      </c>
      <c r="H910" s="4">
        <v>0</v>
      </c>
      <c r="I910" s="4" t="s">
        <v>1</v>
      </c>
      <c r="K9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0.58324158175931839</v>
      </c>
    </row>
    <row r="911" spans="1:11" x14ac:dyDescent="0.3">
      <c r="A911" s="4">
        <v>26</v>
      </c>
      <c r="B911" s="4">
        <v>500000</v>
      </c>
      <c r="C911" s="4">
        <v>8</v>
      </c>
      <c r="D911" s="4">
        <v>0</v>
      </c>
      <c r="E911" s="4">
        <v>1</v>
      </c>
      <c r="F911" s="4">
        <v>0</v>
      </c>
      <c r="G911" s="4">
        <v>0</v>
      </c>
      <c r="H911" s="4">
        <v>0</v>
      </c>
      <c r="I911" s="4" t="s">
        <v>1</v>
      </c>
      <c r="K9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0.1092935445690817</v>
      </c>
    </row>
    <row r="912" spans="1:11" x14ac:dyDescent="0.3">
      <c r="A912" s="4">
        <v>25</v>
      </c>
      <c r="B912" s="4">
        <v>1400000</v>
      </c>
      <c r="C912" s="4">
        <v>5</v>
      </c>
      <c r="D912" s="4">
        <v>0</v>
      </c>
      <c r="E912" s="4">
        <v>1</v>
      </c>
      <c r="F912" s="4">
        <v>1</v>
      </c>
      <c r="G912" s="4">
        <v>0</v>
      </c>
      <c r="H912" s="4">
        <v>1</v>
      </c>
      <c r="I912" s="4" t="s">
        <v>1</v>
      </c>
      <c r="K9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0.68461666396311593</v>
      </c>
    </row>
    <row r="913" spans="1:11" x14ac:dyDescent="0.3">
      <c r="A913" s="4">
        <v>34</v>
      </c>
      <c r="B913" s="4">
        <v>500000</v>
      </c>
      <c r="C913" s="4">
        <v>5</v>
      </c>
      <c r="D913" s="4">
        <v>0</v>
      </c>
      <c r="E913" s="4">
        <v>1</v>
      </c>
      <c r="F913" s="4">
        <v>0</v>
      </c>
      <c r="G913" s="4">
        <v>0</v>
      </c>
      <c r="H913" s="4">
        <v>0</v>
      </c>
      <c r="I913" s="4" t="s">
        <v>1</v>
      </c>
      <c r="K9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0.16650635893253984</v>
      </c>
    </row>
    <row r="914" spans="1:11" x14ac:dyDescent="0.3">
      <c r="A914" s="4">
        <v>31</v>
      </c>
      <c r="B914" s="4">
        <v>400000</v>
      </c>
      <c r="C914" s="4">
        <v>3</v>
      </c>
      <c r="D914" s="4">
        <v>1</v>
      </c>
      <c r="E914" s="4">
        <v>0</v>
      </c>
      <c r="F914" s="4">
        <v>0</v>
      </c>
      <c r="G914" s="4">
        <v>0</v>
      </c>
      <c r="H914" s="4">
        <v>0</v>
      </c>
      <c r="I914" s="4" t="s">
        <v>1</v>
      </c>
      <c r="K9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0.1205051423678154</v>
      </c>
    </row>
    <row r="915" spans="1:11" x14ac:dyDescent="0.3">
      <c r="A915" s="4">
        <v>31</v>
      </c>
      <c r="B915" s="4">
        <v>1250000</v>
      </c>
      <c r="C915" s="4">
        <v>6</v>
      </c>
      <c r="D915" s="4">
        <v>0</v>
      </c>
      <c r="E915" s="4">
        <v>1</v>
      </c>
      <c r="F915" s="4">
        <v>0</v>
      </c>
      <c r="G915" s="4">
        <v>0</v>
      </c>
      <c r="H915" s="4">
        <v>0</v>
      </c>
      <c r="I915" s="4" t="s">
        <v>1</v>
      </c>
      <c r="K9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0.37248307450285006</v>
      </c>
    </row>
    <row r="916" spans="1:11" x14ac:dyDescent="0.3">
      <c r="A916" s="4">
        <v>32</v>
      </c>
      <c r="B916" s="4">
        <v>650000</v>
      </c>
      <c r="C916" s="4">
        <v>5</v>
      </c>
      <c r="D916" s="4">
        <v>1</v>
      </c>
      <c r="E916" s="4">
        <v>1</v>
      </c>
      <c r="F916" s="4">
        <v>1</v>
      </c>
      <c r="G916" s="4">
        <v>0</v>
      </c>
      <c r="H916" s="4">
        <v>0</v>
      </c>
      <c r="I916" s="4" t="s">
        <v>1</v>
      </c>
      <c r="K9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0.17919881753829928</v>
      </c>
    </row>
    <row r="917" spans="1:11" x14ac:dyDescent="0.3">
      <c r="A917" s="4">
        <v>27</v>
      </c>
      <c r="B917" s="4">
        <v>850000</v>
      </c>
      <c r="C917" s="4">
        <v>3</v>
      </c>
      <c r="D917" s="4">
        <v>1</v>
      </c>
      <c r="E917" s="4">
        <v>1</v>
      </c>
      <c r="F917" s="4">
        <v>0</v>
      </c>
      <c r="G917" s="4">
        <v>0</v>
      </c>
      <c r="H917" s="4">
        <v>0</v>
      </c>
      <c r="I917" s="4" t="s">
        <v>1</v>
      </c>
      <c r="K9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0.12291317665826677</v>
      </c>
    </row>
    <row r="918" spans="1:11" x14ac:dyDescent="0.3">
      <c r="A918" s="4">
        <v>28</v>
      </c>
      <c r="B918" s="4">
        <v>300000</v>
      </c>
      <c r="C918" s="4">
        <v>7</v>
      </c>
      <c r="D918" s="4">
        <v>1</v>
      </c>
      <c r="E918" s="4">
        <v>1</v>
      </c>
      <c r="F918" s="4">
        <v>0</v>
      </c>
      <c r="G918" s="4">
        <v>0</v>
      </c>
      <c r="H918" s="4">
        <v>0</v>
      </c>
      <c r="I918" s="4" t="s">
        <v>1</v>
      </c>
      <c r="K9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3.7236378694574038E-2</v>
      </c>
    </row>
    <row r="919" spans="1:11" x14ac:dyDescent="0.3">
      <c r="A919" s="4">
        <v>28</v>
      </c>
      <c r="B919" s="4">
        <v>1250000</v>
      </c>
      <c r="C919" s="4">
        <v>4</v>
      </c>
      <c r="D919" s="4">
        <v>0</v>
      </c>
      <c r="E919" s="4">
        <v>1</v>
      </c>
      <c r="F919" s="4">
        <v>1</v>
      </c>
      <c r="G919" s="4">
        <v>0</v>
      </c>
      <c r="H919" s="4">
        <v>0</v>
      </c>
      <c r="I919" s="4" t="s">
        <v>1</v>
      </c>
      <c r="K9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0.31191998316589054</v>
      </c>
    </row>
    <row r="920" spans="1:11" x14ac:dyDescent="0.3">
      <c r="A920" s="4">
        <v>28</v>
      </c>
      <c r="B920" s="4">
        <v>700000</v>
      </c>
      <c r="C920" s="4">
        <v>5</v>
      </c>
      <c r="D920" s="4">
        <v>0</v>
      </c>
      <c r="E920" s="4">
        <v>1</v>
      </c>
      <c r="F920" s="4">
        <v>0</v>
      </c>
      <c r="G920" s="4">
        <v>0</v>
      </c>
      <c r="H920" s="4">
        <v>0</v>
      </c>
      <c r="I920" s="4" t="s">
        <v>1</v>
      </c>
      <c r="K9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0.14597286901684126</v>
      </c>
    </row>
    <row r="921" spans="1:11" x14ac:dyDescent="0.3">
      <c r="A921" s="4">
        <v>28</v>
      </c>
      <c r="B921" s="4">
        <v>600000</v>
      </c>
      <c r="C921" s="4">
        <v>6</v>
      </c>
      <c r="D921" s="4">
        <v>1</v>
      </c>
      <c r="E921" s="4">
        <v>1</v>
      </c>
      <c r="F921" s="4">
        <v>0</v>
      </c>
      <c r="G921" s="4">
        <v>0</v>
      </c>
      <c r="H921" s="4">
        <v>0</v>
      </c>
      <c r="I921" s="4" t="s">
        <v>1</v>
      </c>
      <c r="K9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0.11180657933513101</v>
      </c>
    </row>
    <row r="922" spans="1:11" x14ac:dyDescent="0.3">
      <c r="A922" s="4">
        <v>29</v>
      </c>
      <c r="B922" s="4">
        <v>1050000</v>
      </c>
      <c r="C922" s="4">
        <v>7</v>
      </c>
      <c r="D922" s="4">
        <v>0</v>
      </c>
      <c r="E922" s="4">
        <v>1</v>
      </c>
      <c r="F922" s="4">
        <v>0</v>
      </c>
      <c r="G922" s="4">
        <v>0</v>
      </c>
      <c r="H922" s="4">
        <v>0</v>
      </c>
      <c r="I922" s="4" t="s">
        <v>1</v>
      </c>
      <c r="K9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0.30127236533490981</v>
      </c>
    </row>
    <row r="923" spans="1:11" x14ac:dyDescent="0.3">
      <c r="A923" s="4">
        <v>26</v>
      </c>
      <c r="B923" s="4">
        <v>450000</v>
      </c>
      <c r="C923" s="4">
        <v>4</v>
      </c>
      <c r="D923" s="4">
        <v>0</v>
      </c>
      <c r="E923" s="4">
        <v>1</v>
      </c>
      <c r="F923" s="4">
        <v>0</v>
      </c>
      <c r="G923" s="4">
        <v>0</v>
      </c>
      <c r="H923" s="4">
        <v>0</v>
      </c>
      <c r="I923" s="4" t="s">
        <v>1</v>
      </c>
      <c r="K9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2.4924792961945982E-2</v>
      </c>
    </row>
    <row r="924" spans="1:11" x14ac:dyDescent="0.3">
      <c r="A924" s="4">
        <v>33</v>
      </c>
      <c r="B924" s="4">
        <v>700000</v>
      </c>
      <c r="C924" s="4">
        <v>2</v>
      </c>
      <c r="D924" s="4">
        <v>1</v>
      </c>
      <c r="E924" s="4">
        <v>1</v>
      </c>
      <c r="F924" s="4">
        <v>0</v>
      </c>
      <c r="G924" s="4">
        <v>0</v>
      </c>
      <c r="H924" s="4">
        <v>0</v>
      </c>
      <c r="I924" s="4" t="s">
        <v>1</v>
      </c>
      <c r="K9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0.14148695638064962</v>
      </c>
    </row>
    <row r="925" spans="1:11" x14ac:dyDescent="0.3">
      <c r="A925" s="4">
        <v>29</v>
      </c>
      <c r="B925" s="4">
        <v>350000</v>
      </c>
      <c r="C925" s="4">
        <v>8</v>
      </c>
      <c r="D925" s="4">
        <v>0</v>
      </c>
      <c r="E925" s="4">
        <v>1</v>
      </c>
      <c r="F925" s="4">
        <v>1</v>
      </c>
      <c r="G925" s="4">
        <v>0</v>
      </c>
      <c r="H925" s="4">
        <v>0</v>
      </c>
      <c r="I925" s="4" t="s">
        <v>1</v>
      </c>
      <c r="K9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0.11910131003477586</v>
      </c>
    </row>
    <row r="926" spans="1:11" x14ac:dyDescent="0.3">
      <c r="A926" s="4">
        <v>26</v>
      </c>
      <c r="B926" s="4">
        <v>1500000</v>
      </c>
      <c r="C926" s="4">
        <v>6</v>
      </c>
      <c r="D926" s="4">
        <v>0</v>
      </c>
      <c r="E926" s="4">
        <v>1</v>
      </c>
      <c r="F926" s="4">
        <v>0</v>
      </c>
      <c r="G926" s="4">
        <v>1</v>
      </c>
      <c r="H926" s="4">
        <v>1</v>
      </c>
      <c r="I926" s="4" t="s">
        <v>1</v>
      </c>
      <c r="K9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0.82246047362233154</v>
      </c>
    </row>
    <row r="927" spans="1:11" x14ac:dyDescent="0.3">
      <c r="A927" s="4">
        <v>27</v>
      </c>
      <c r="B927" s="4">
        <v>500000</v>
      </c>
      <c r="C927" s="4">
        <v>3</v>
      </c>
      <c r="D927" s="4">
        <v>1</v>
      </c>
      <c r="E927" s="4">
        <v>1</v>
      </c>
      <c r="F927" s="4">
        <v>1</v>
      </c>
      <c r="G927" s="4">
        <v>0</v>
      </c>
      <c r="H927" s="4">
        <v>0</v>
      </c>
      <c r="I927" s="4" t="s">
        <v>1</v>
      </c>
      <c r="K9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3.061830416546437E-2</v>
      </c>
    </row>
    <row r="928" spans="1:11" x14ac:dyDescent="0.3">
      <c r="A928" s="4">
        <v>33</v>
      </c>
      <c r="B928" s="4">
        <v>550000</v>
      </c>
      <c r="C928" s="4">
        <v>5</v>
      </c>
      <c r="D928" s="4">
        <v>0</v>
      </c>
      <c r="E928" s="4">
        <v>1</v>
      </c>
      <c r="F928" s="4">
        <v>0</v>
      </c>
      <c r="G928" s="4">
        <v>1</v>
      </c>
      <c r="H928" s="4">
        <v>0</v>
      </c>
      <c r="I928" s="4" t="s">
        <v>1</v>
      </c>
      <c r="K9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0.25937302387857786</v>
      </c>
    </row>
    <row r="929" spans="1:11" x14ac:dyDescent="0.3">
      <c r="A929" s="4">
        <v>26</v>
      </c>
      <c r="B929" s="4">
        <v>1400000</v>
      </c>
      <c r="C929" s="4">
        <v>6</v>
      </c>
      <c r="D929" s="4">
        <v>0</v>
      </c>
      <c r="E929" s="4">
        <v>1</v>
      </c>
      <c r="F929" s="4">
        <v>1</v>
      </c>
      <c r="G929" s="4">
        <v>0</v>
      </c>
      <c r="H929" s="4">
        <v>1</v>
      </c>
      <c r="I929" s="4" t="s">
        <v>1</v>
      </c>
      <c r="K9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0.7155085927536724</v>
      </c>
    </row>
    <row r="930" spans="1:11" x14ac:dyDescent="0.3">
      <c r="A930" s="4">
        <v>31</v>
      </c>
      <c r="B930" s="4">
        <v>1400000</v>
      </c>
      <c r="C930" s="4">
        <v>6</v>
      </c>
      <c r="D930" s="4">
        <v>0</v>
      </c>
      <c r="E930" s="4">
        <v>1</v>
      </c>
      <c r="F930" s="4">
        <v>0</v>
      </c>
      <c r="G930" s="4">
        <v>0</v>
      </c>
      <c r="H930" s="4">
        <v>1</v>
      </c>
      <c r="I930" s="4" t="s">
        <v>1</v>
      </c>
      <c r="K9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0.76879277223138365</v>
      </c>
    </row>
    <row r="931" spans="1:11" x14ac:dyDescent="0.3">
      <c r="A931" s="4">
        <v>28</v>
      </c>
      <c r="B931" s="4">
        <v>550000</v>
      </c>
      <c r="C931" s="4">
        <v>4</v>
      </c>
      <c r="D931" s="4">
        <v>0</v>
      </c>
      <c r="E931" s="4">
        <v>1</v>
      </c>
      <c r="F931" s="4">
        <v>0</v>
      </c>
      <c r="G931" s="4">
        <v>1</v>
      </c>
      <c r="H931" s="4">
        <v>0</v>
      </c>
      <c r="I931" s="4" t="s">
        <v>1</v>
      </c>
      <c r="K9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0.17397614936615691</v>
      </c>
    </row>
    <row r="932" spans="1:11" x14ac:dyDescent="0.3">
      <c r="A932" s="4">
        <v>34</v>
      </c>
      <c r="B932" s="4">
        <v>1300000</v>
      </c>
      <c r="C932" s="4">
        <v>4</v>
      </c>
      <c r="D932" s="4">
        <v>1</v>
      </c>
      <c r="E932" s="4">
        <v>1</v>
      </c>
      <c r="F932" s="4">
        <v>0</v>
      </c>
      <c r="G932" s="4">
        <v>0</v>
      </c>
      <c r="H932" s="4">
        <v>0</v>
      </c>
      <c r="I932" s="4" t="s">
        <v>1</v>
      </c>
      <c r="K9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0.37331636353259096</v>
      </c>
    </row>
    <row r="933" spans="1:11" x14ac:dyDescent="0.3">
      <c r="A933" s="4">
        <v>30</v>
      </c>
      <c r="B933" s="4">
        <v>650000</v>
      </c>
      <c r="C933" s="4">
        <v>5</v>
      </c>
      <c r="D933" s="4">
        <v>0</v>
      </c>
      <c r="E933" s="4">
        <v>0</v>
      </c>
      <c r="F933" s="4">
        <v>0</v>
      </c>
      <c r="G933" s="4">
        <v>0</v>
      </c>
      <c r="H933" s="4">
        <v>0</v>
      </c>
      <c r="I933" s="4" t="s">
        <v>1</v>
      </c>
      <c r="K9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0.23876021919965404</v>
      </c>
    </row>
    <row r="934" spans="1:11" x14ac:dyDescent="0.3">
      <c r="A934" s="4">
        <v>27</v>
      </c>
      <c r="B934" s="4">
        <v>500000</v>
      </c>
      <c r="C934" s="4">
        <v>2</v>
      </c>
      <c r="D934" s="4">
        <v>1</v>
      </c>
      <c r="E934" s="4">
        <v>1</v>
      </c>
      <c r="F934" s="4">
        <v>0</v>
      </c>
      <c r="G934" s="4">
        <v>0</v>
      </c>
      <c r="H934" s="4">
        <v>0</v>
      </c>
      <c r="I934" s="4" t="s">
        <v>1</v>
      </c>
      <c r="K9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-1.4943908692453822E-3</v>
      </c>
    </row>
    <row r="935" spans="1:11" x14ac:dyDescent="0.3">
      <c r="A935" s="4">
        <v>28</v>
      </c>
      <c r="B935" s="4">
        <v>1150000</v>
      </c>
      <c r="C935" s="4">
        <v>7</v>
      </c>
      <c r="D935" s="4">
        <v>0</v>
      </c>
      <c r="E935" s="4">
        <v>1</v>
      </c>
      <c r="F935" s="4">
        <v>1</v>
      </c>
      <c r="G935" s="4">
        <v>0</v>
      </c>
      <c r="H935" s="4">
        <v>0</v>
      </c>
      <c r="I935" s="4" t="s">
        <v>1</v>
      </c>
      <c r="K9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0.33310509591261228</v>
      </c>
    </row>
    <row r="936" spans="1:11" x14ac:dyDescent="0.3">
      <c r="A936" s="4">
        <v>28</v>
      </c>
      <c r="B936" s="4">
        <v>300000</v>
      </c>
      <c r="C936" s="4">
        <v>4</v>
      </c>
      <c r="D936" s="4">
        <v>1</v>
      </c>
      <c r="E936" s="4">
        <v>1</v>
      </c>
      <c r="F936" s="4">
        <v>0</v>
      </c>
      <c r="G936" s="4">
        <v>0</v>
      </c>
      <c r="H936" s="4">
        <v>0</v>
      </c>
      <c r="I936" s="4" t="s">
        <v>1</v>
      </c>
      <c r="K9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-1.4560698385696874E-2</v>
      </c>
    </row>
    <row r="937" spans="1:11" x14ac:dyDescent="0.3">
      <c r="A937" s="4">
        <v>25</v>
      </c>
      <c r="B937" s="4">
        <v>750000</v>
      </c>
      <c r="C937" s="4">
        <v>6</v>
      </c>
      <c r="D937" s="4">
        <v>1</v>
      </c>
      <c r="E937" s="4">
        <v>1</v>
      </c>
      <c r="F937" s="4">
        <v>0</v>
      </c>
      <c r="G937" s="4">
        <v>0</v>
      </c>
      <c r="H937" s="4">
        <v>0</v>
      </c>
      <c r="I937" s="4" t="s">
        <v>1</v>
      </c>
      <c r="K9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0.11684581654405625</v>
      </c>
    </row>
    <row r="938" spans="1:11" x14ac:dyDescent="0.3">
      <c r="A938" s="4">
        <v>27</v>
      </c>
      <c r="B938" s="4">
        <v>850000</v>
      </c>
      <c r="C938" s="4">
        <v>4</v>
      </c>
      <c r="D938" s="4">
        <v>1</v>
      </c>
      <c r="E938" s="4">
        <v>1</v>
      </c>
      <c r="F938" s="4">
        <v>1</v>
      </c>
      <c r="G938" s="4">
        <v>0</v>
      </c>
      <c r="H938" s="4">
        <v>0</v>
      </c>
      <c r="I938" s="4" t="s">
        <v>1</v>
      </c>
      <c r="K9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0.15502587169297652</v>
      </c>
    </row>
    <row r="939" spans="1:11" x14ac:dyDescent="0.3">
      <c r="A939" s="4">
        <v>31</v>
      </c>
      <c r="B939" s="4">
        <v>900000</v>
      </c>
      <c r="C939" s="4">
        <v>4</v>
      </c>
      <c r="D939" s="4">
        <v>0</v>
      </c>
      <c r="E939" s="4">
        <v>1</v>
      </c>
      <c r="F939" s="4">
        <v>1</v>
      </c>
      <c r="G939" s="4">
        <v>0</v>
      </c>
      <c r="H939" s="4">
        <v>0</v>
      </c>
      <c r="I939" s="4" t="s">
        <v>1</v>
      </c>
      <c r="K9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0.24565681728986707</v>
      </c>
    </row>
    <row r="940" spans="1:11" x14ac:dyDescent="0.3">
      <c r="A940" s="4">
        <v>34</v>
      </c>
      <c r="B940" s="4">
        <v>1000000</v>
      </c>
      <c r="C940" s="4">
        <v>9</v>
      </c>
      <c r="D940" s="4">
        <v>0</v>
      </c>
      <c r="E940" s="4">
        <v>1</v>
      </c>
      <c r="F940" s="4">
        <v>0</v>
      </c>
      <c r="G940" s="4">
        <v>0</v>
      </c>
      <c r="H940" s="4">
        <v>0</v>
      </c>
      <c r="I940" s="4" t="s">
        <v>1</v>
      </c>
      <c r="K9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0.38862895004064651</v>
      </c>
    </row>
    <row r="941" spans="1:11" x14ac:dyDescent="0.3">
      <c r="A941" s="4">
        <v>33</v>
      </c>
      <c r="B941" s="4">
        <v>1400000</v>
      </c>
      <c r="C941" s="4">
        <v>3</v>
      </c>
      <c r="D941" s="4">
        <v>0</v>
      </c>
      <c r="E941" s="4">
        <v>1</v>
      </c>
      <c r="F941" s="4">
        <v>0</v>
      </c>
      <c r="G941" s="4">
        <v>0</v>
      </c>
      <c r="H941" s="4">
        <v>1</v>
      </c>
      <c r="I941" s="4" t="s">
        <v>1</v>
      </c>
      <c r="K9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0.74424816801204496</v>
      </c>
    </row>
    <row r="942" spans="1:11" x14ac:dyDescent="0.3">
      <c r="A942" s="4">
        <v>25</v>
      </c>
      <c r="B942" s="4">
        <v>1150000</v>
      </c>
      <c r="C942" s="4">
        <v>6</v>
      </c>
      <c r="D942" s="4">
        <v>0</v>
      </c>
      <c r="E942" s="4">
        <v>0</v>
      </c>
      <c r="F942" s="4">
        <v>1</v>
      </c>
      <c r="G942" s="4">
        <v>0</v>
      </c>
      <c r="H942" s="4">
        <v>0</v>
      </c>
      <c r="I942" s="4" t="s">
        <v>1</v>
      </c>
      <c r="K9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0.35580155374977862</v>
      </c>
    </row>
    <row r="943" spans="1:11" x14ac:dyDescent="0.3">
      <c r="A943" s="4">
        <v>28</v>
      </c>
      <c r="B943" s="4">
        <v>300000</v>
      </c>
      <c r="C943" s="4">
        <v>3</v>
      </c>
      <c r="D943" s="4">
        <v>1</v>
      </c>
      <c r="E943" s="4">
        <v>1</v>
      </c>
      <c r="F943" s="4">
        <v>1</v>
      </c>
      <c r="G943" s="4">
        <v>0</v>
      </c>
      <c r="H943" s="4">
        <v>0</v>
      </c>
      <c r="I943" s="4" t="s">
        <v>1</v>
      </c>
      <c r="K9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-1.6979388071167729E-2</v>
      </c>
    </row>
    <row r="944" spans="1:11" x14ac:dyDescent="0.3">
      <c r="A944" s="4">
        <v>26</v>
      </c>
      <c r="B944" s="4">
        <v>600000</v>
      </c>
      <c r="C944" s="4">
        <v>3</v>
      </c>
      <c r="D944" s="4">
        <v>0</v>
      </c>
      <c r="E944" s="4">
        <v>1</v>
      </c>
      <c r="F944" s="4">
        <v>0</v>
      </c>
      <c r="G944" s="4">
        <v>0</v>
      </c>
      <c r="H944" s="4">
        <v>0</v>
      </c>
      <c r="I944" s="4" t="s">
        <v>1</v>
      </c>
      <c r="K9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5.3577047102179323E-2</v>
      </c>
    </row>
    <row r="945" spans="1:11" x14ac:dyDescent="0.3">
      <c r="A945" s="4">
        <v>29</v>
      </c>
      <c r="B945" s="4">
        <v>1050000</v>
      </c>
      <c r="C945" s="4">
        <v>3</v>
      </c>
      <c r="D945" s="4">
        <v>0</v>
      </c>
      <c r="E945" s="4">
        <v>1</v>
      </c>
      <c r="F945" s="4">
        <v>0</v>
      </c>
      <c r="G945" s="4">
        <v>0</v>
      </c>
      <c r="H945" s="4">
        <v>0</v>
      </c>
      <c r="I945" s="4" t="s">
        <v>1</v>
      </c>
      <c r="K9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0.23220959589454859</v>
      </c>
    </row>
    <row r="946" spans="1:11" x14ac:dyDescent="0.3">
      <c r="A946" s="4">
        <v>29</v>
      </c>
      <c r="B946" s="4">
        <v>1150000</v>
      </c>
      <c r="C946" s="4">
        <v>4</v>
      </c>
      <c r="D946" s="4">
        <v>0</v>
      </c>
      <c r="E946" s="4">
        <v>1</v>
      </c>
      <c r="F946" s="4">
        <v>1</v>
      </c>
      <c r="G946" s="4">
        <v>0</v>
      </c>
      <c r="H946" s="4">
        <v>0</v>
      </c>
      <c r="I946" s="4" t="s">
        <v>1</v>
      </c>
      <c r="K9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0.29493425526280748</v>
      </c>
    </row>
    <row r="947" spans="1:11" x14ac:dyDescent="0.3">
      <c r="A947" s="4">
        <v>34</v>
      </c>
      <c r="B947" s="4">
        <v>1000000</v>
      </c>
      <c r="C947" s="4">
        <v>5</v>
      </c>
      <c r="D947" s="4">
        <v>0</v>
      </c>
      <c r="E947" s="4">
        <v>1</v>
      </c>
      <c r="F947" s="4">
        <v>0</v>
      </c>
      <c r="G947" s="4">
        <v>1</v>
      </c>
      <c r="H947" s="4">
        <v>0</v>
      </c>
      <c r="I947" s="4" t="s">
        <v>1</v>
      </c>
      <c r="K9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0.4107530998100149</v>
      </c>
    </row>
    <row r="948" spans="1:11" x14ac:dyDescent="0.3">
      <c r="A948" s="4">
        <v>31</v>
      </c>
      <c r="B948" s="4">
        <v>900000</v>
      </c>
      <c r="C948" s="4">
        <v>4</v>
      </c>
      <c r="D948" s="4">
        <v>0</v>
      </c>
      <c r="E948" s="4">
        <v>1</v>
      </c>
      <c r="F948" s="4">
        <v>1</v>
      </c>
      <c r="G948" s="4">
        <v>0</v>
      </c>
      <c r="H948" s="4">
        <v>0</v>
      </c>
      <c r="I948" s="4" t="s">
        <v>1</v>
      </c>
      <c r="K9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0.24565681728986707</v>
      </c>
    </row>
    <row r="949" spans="1:11" x14ac:dyDescent="0.3">
      <c r="A949" s="4">
        <v>33</v>
      </c>
      <c r="B949" s="4">
        <v>1000000</v>
      </c>
      <c r="C949" s="4">
        <v>3</v>
      </c>
      <c r="D949" s="4">
        <v>1</v>
      </c>
      <c r="E949" s="4">
        <v>1</v>
      </c>
      <c r="F949" s="4">
        <v>0</v>
      </c>
      <c r="G949" s="4">
        <v>0</v>
      </c>
      <c r="H949" s="4">
        <v>0</v>
      </c>
      <c r="I949" s="4" t="s">
        <v>1</v>
      </c>
      <c r="K9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0.25058854174138717</v>
      </c>
    </row>
    <row r="950" spans="1:11" x14ac:dyDescent="0.3">
      <c r="A950" s="4">
        <v>32</v>
      </c>
      <c r="B950" s="4">
        <v>800000</v>
      </c>
      <c r="C950" s="4">
        <v>7</v>
      </c>
      <c r="D950" s="4">
        <v>1</v>
      </c>
      <c r="E950" s="4">
        <v>1</v>
      </c>
      <c r="F950" s="4">
        <v>0</v>
      </c>
      <c r="G950" s="4">
        <v>0</v>
      </c>
      <c r="H950" s="4">
        <v>0</v>
      </c>
      <c r="I950" s="4" t="s">
        <v>1</v>
      </c>
      <c r="K9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0.24480114608418407</v>
      </c>
    </row>
    <row r="951" spans="1:11" x14ac:dyDescent="0.3">
      <c r="A951" s="4">
        <v>25</v>
      </c>
      <c r="B951" s="4">
        <v>1150000</v>
      </c>
      <c r="C951" s="4">
        <v>3</v>
      </c>
      <c r="D951" s="4">
        <v>0</v>
      </c>
      <c r="E951" s="4">
        <v>0</v>
      </c>
      <c r="F951" s="4">
        <v>0</v>
      </c>
      <c r="G951" s="4">
        <v>1</v>
      </c>
      <c r="H951" s="4">
        <v>0</v>
      </c>
      <c r="I951" s="4" t="s">
        <v>1</v>
      </c>
      <c r="K9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0.38034439320461783</v>
      </c>
    </row>
    <row r="952" spans="1:11" x14ac:dyDescent="0.3">
      <c r="A952" s="4">
        <v>34</v>
      </c>
      <c r="B952" s="4">
        <v>1000000</v>
      </c>
      <c r="C952" s="4">
        <v>5</v>
      </c>
      <c r="D952" s="4">
        <v>0</v>
      </c>
      <c r="E952" s="4">
        <v>1</v>
      </c>
      <c r="F952" s="4">
        <v>0</v>
      </c>
      <c r="G952" s="4">
        <v>0</v>
      </c>
      <c r="H952" s="4">
        <v>0</v>
      </c>
      <c r="I952" s="4" t="s">
        <v>1</v>
      </c>
      <c r="K9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0.3195661806002853</v>
      </c>
    </row>
    <row r="953" spans="1:11" x14ac:dyDescent="0.3">
      <c r="A953" s="4">
        <v>31</v>
      </c>
      <c r="B953" s="4">
        <v>1250000</v>
      </c>
      <c r="C953" s="4">
        <v>5</v>
      </c>
      <c r="D953" s="4">
        <v>0</v>
      </c>
      <c r="E953" s="4">
        <v>1</v>
      </c>
      <c r="F953" s="4">
        <v>0</v>
      </c>
      <c r="G953" s="4">
        <v>0</v>
      </c>
      <c r="H953" s="4">
        <v>0</v>
      </c>
      <c r="I953" s="4" t="s">
        <v>1</v>
      </c>
      <c r="K9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0.35521738214275977</v>
      </c>
    </row>
    <row r="954" spans="1:11" x14ac:dyDescent="0.3">
      <c r="A954" s="4">
        <v>28</v>
      </c>
      <c r="B954" s="4">
        <v>1400000</v>
      </c>
      <c r="C954" s="4">
        <v>4</v>
      </c>
      <c r="D954" s="4">
        <v>0</v>
      </c>
      <c r="E954" s="4">
        <v>1</v>
      </c>
      <c r="F954" s="4">
        <v>0</v>
      </c>
      <c r="G954" s="4">
        <v>1</v>
      </c>
      <c r="H954" s="4">
        <v>1</v>
      </c>
      <c r="I954" s="4" t="s">
        <v>1</v>
      </c>
      <c r="K9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0.78456959742953414</v>
      </c>
    </row>
    <row r="955" spans="1:11" x14ac:dyDescent="0.3">
      <c r="A955" s="4">
        <v>35</v>
      </c>
      <c r="B955" s="4">
        <v>800000</v>
      </c>
      <c r="C955" s="4">
        <v>5</v>
      </c>
      <c r="D955" s="4">
        <v>0</v>
      </c>
      <c r="E955" s="4">
        <v>0</v>
      </c>
      <c r="F955" s="4">
        <v>0</v>
      </c>
      <c r="G955" s="4">
        <v>0</v>
      </c>
      <c r="H955" s="4">
        <v>1</v>
      </c>
      <c r="I955" s="4" t="s">
        <v>1</v>
      </c>
      <c r="K9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0.7032010990805182</v>
      </c>
    </row>
    <row r="956" spans="1:11" x14ac:dyDescent="0.3">
      <c r="A956" s="4">
        <v>29</v>
      </c>
      <c r="B956" s="4">
        <v>1200000</v>
      </c>
      <c r="C956" s="4">
        <v>4</v>
      </c>
      <c r="D956" s="4">
        <v>0</v>
      </c>
      <c r="E956" s="4">
        <v>1</v>
      </c>
      <c r="F956" s="4">
        <v>0</v>
      </c>
      <c r="G956" s="4">
        <v>0</v>
      </c>
      <c r="H956" s="4">
        <v>0</v>
      </c>
      <c r="I956" s="4" t="s">
        <v>1</v>
      </c>
      <c r="K9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957" spans="1:11" x14ac:dyDescent="0.3">
      <c r="A957" s="4">
        <v>25</v>
      </c>
      <c r="B957" s="4">
        <v>1700000</v>
      </c>
      <c r="C957" s="4">
        <v>4</v>
      </c>
      <c r="D957" s="4">
        <v>0</v>
      </c>
      <c r="E957" s="4">
        <v>1</v>
      </c>
      <c r="F957" s="4">
        <v>0</v>
      </c>
      <c r="G957" s="4">
        <v>1</v>
      </c>
      <c r="H957" s="4">
        <v>0</v>
      </c>
      <c r="I957" s="4" t="s">
        <v>1</v>
      </c>
      <c r="K9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0.48513502991057317</v>
      </c>
    </row>
    <row r="958" spans="1:11" x14ac:dyDescent="0.3">
      <c r="A958" s="4">
        <v>26</v>
      </c>
      <c r="B958" s="4">
        <v>600000</v>
      </c>
      <c r="C958" s="4">
        <v>6</v>
      </c>
      <c r="D958" s="4">
        <v>0</v>
      </c>
      <c r="E958" s="4">
        <v>1</v>
      </c>
      <c r="F958" s="4">
        <v>0</v>
      </c>
      <c r="G958" s="4">
        <v>0</v>
      </c>
      <c r="H958" s="4">
        <v>0</v>
      </c>
      <c r="I958" s="4" t="s">
        <v>1</v>
      </c>
      <c r="K9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0.10537412418245019</v>
      </c>
    </row>
    <row r="959" spans="1:11" x14ac:dyDescent="0.3">
      <c r="A959" s="4">
        <v>28</v>
      </c>
      <c r="B959" s="4">
        <v>1100000</v>
      </c>
      <c r="C959" s="4">
        <v>4</v>
      </c>
      <c r="D959" s="4">
        <v>0</v>
      </c>
      <c r="E959" s="4">
        <v>1</v>
      </c>
      <c r="F959" s="4">
        <v>0</v>
      </c>
      <c r="G959" s="4">
        <v>0</v>
      </c>
      <c r="H959" s="4">
        <v>0</v>
      </c>
      <c r="I959" s="4" t="s">
        <v>1</v>
      </c>
      <c r="K9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0.25115503399094741</v>
      </c>
    </row>
    <row r="960" spans="1:11" x14ac:dyDescent="0.3">
      <c r="A960" s="4">
        <v>31</v>
      </c>
      <c r="B960" s="4">
        <v>1250000</v>
      </c>
      <c r="C960" s="4">
        <v>7</v>
      </c>
      <c r="D960" s="4">
        <v>0</v>
      </c>
      <c r="E960" s="4">
        <v>1</v>
      </c>
      <c r="F960" s="4">
        <v>0</v>
      </c>
      <c r="G960" s="4">
        <v>0</v>
      </c>
      <c r="H960" s="4">
        <v>0</v>
      </c>
      <c r="I960" s="4" t="s">
        <v>1</v>
      </c>
      <c r="K9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0.38974876686294035</v>
      </c>
    </row>
    <row r="961" spans="1:11" x14ac:dyDescent="0.3">
      <c r="A961" s="4">
        <v>28</v>
      </c>
      <c r="B961" s="4">
        <v>1150000</v>
      </c>
      <c r="C961" s="4">
        <v>9</v>
      </c>
      <c r="D961" s="4">
        <v>0</v>
      </c>
      <c r="E961" s="4">
        <v>1</v>
      </c>
      <c r="F961" s="4">
        <v>0</v>
      </c>
      <c r="G961" s="4">
        <v>0</v>
      </c>
      <c r="H961" s="4">
        <v>0</v>
      </c>
      <c r="I961" s="4" t="s">
        <v>1</v>
      </c>
      <c r="K9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0.35278947795817339</v>
      </c>
    </row>
    <row r="962" spans="1:11" x14ac:dyDescent="0.3">
      <c r="A962" s="4">
        <v>28</v>
      </c>
      <c r="B962" s="4">
        <v>1100000</v>
      </c>
      <c r="C962" s="4">
        <v>7</v>
      </c>
      <c r="D962" s="4">
        <v>0</v>
      </c>
      <c r="E962" s="4">
        <v>1</v>
      </c>
      <c r="F962" s="4">
        <v>0</v>
      </c>
      <c r="G962" s="4">
        <v>0</v>
      </c>
      <c r="H962" s="4">
        <v>0</v>
      </c>
      <c r="I962" s="4" t="s">
        <v>1</v>
      </c>
      <c r="K9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0.30295211107121828</v>
      </c>
    </row>
    <row r="963" spans="1:11" x14ac:dyDescent="0.3">
      <c r="A963" s="4">
        <v>25</v>
      </c>
      <c r="B963" s="4">
        <v>1150000</v>
      </c>
      <c r="C963" s="4">
        <v>3</v>
      </c>
      <c r="D963" s="4">
        <v>0</v>
      </c>
      <c r="E963" s="4">
        <v>0</v>
      </c>
      <c r="F963" s="4">
        <v>0</v>
      </c>
      <c r="G963" s="4">
        <v>1</v>
      </c>
      <c r="H963" s="4">
        <v>0</v>
      </c>
      <c r="I963" s="4" t="s">
        <v>1</v>
      </c>
      <c r="K9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0.38034439320461783</v>
      </c>
    </row>
    <row r="964" spans="1:11" x14ac:dyDescent="0.3">
      <c r="A964" s="4">
        <v>28</v>
      </c>
      <c r="B964" s="4">
        <v>1250000</v>
      </c>
      <c r="C964" s="4">
        <v>3</v>
      </c>
      <c r="D964" s="4">
        <v>0</v>
      </c>
      <c r="E964" s="4">
        <v>1</v>
      </c>
      <c r="F964" s="4">
        <v>1</v>
      </c>
      <c r="G964" s="4">
        <v>0</v>
      </c>
      <c r="H964" s="4">
        <v>0</v>
      </c>
      <c r="I964" s="4" t="s">
        <v>1</v>
      </c>
      <c r="K9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0.29465429080580019</v>
      </c>
    </row>
    <row r="965" spans="1:11" x14ac:dyDescent="0.3">
      <c r="A965" s="4">
        <v>34</v>
      </c>
      <c r="B965" s="4">
        <v>850000</v>
      </c>
      <c r="C965" s="4">
        <v>5</v>
      </c>
      <c r="D965" s="4">
        <v>0</v>
      </c>
      <c r="E965" s="4">
        <v>1</v>
      </c>
      <c r="F965" s="4">
        <v>1</v>
      </c>
      <c r="G965" s="4">
        <v>1</v>
      </c>
      <c r="H965" s="4">
        <v>0</v>
      </c>
      <c r="I965" s="4" t="s">
        <v>1</v>
      </c>
      <c r="K9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0.37968215598431071</v>
      </c>
    </row>
    <row r="966" spans="1:11" x14ac:dyDescent="0.3">
      <c r="A966" s="4">
        <v>28</v>
      </c>
      <c r="B966" s="4">
        <v>1100000</v>
      </c>
      <c r="C966" s="4">
        <v>5</v>
      </c>
      <c r="D966" s="4">
        <v>0</v>
      </c>
      <c r="E966" s="4">
        <v>1</v>
      </c>
      <c r="F966" s="4">
        <v>0</v>
      </c>
      <c r="G966" s="4">
        <v>0</v>
      </c>
      <c r="H966" s="4">
        <v>0</v>
      </c>
      <c r="I966" s="4" t="s">
        <v>1</v>
      </c>
      <c r="K9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0.26842072635103764</v>
      </c>
    </row>
    <row r="967" spans="1:11" x14ac:dyDescent="0.3">
      <c r="A967" s="4">
        <v>28</v>
      </c>
      <c r="B967" s="4">
        <v>1150000</v>
      </c>
      <c r="C967" s="4">
        <v>4</v>
      </c>
      <c r="D967" s="4">
        <v>0</v>
      </c>
      <c r="E967" s="4">
        <v>1</v>
      </c>
      <c r="F967" s="4">
        <v>1</v>
      </c>
      <c r="G967" s="4">
        <v>0</v>
      </c>
      <c r="H967" s="4">
        <v>0</v>
      </c>
      <c r="I967" s="4" t="s">
        <v>1</v>
      </c>
      <c r="K9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0.28130801883234136</v>
      </c>
    </row>
    <row r="968" spans="1:11" x14ac:dyDescent="0.3">
      <c r="A968" s="4">
        <v>25</v>
      </c>
      <c r="B968" s="4">
        <v>1800000</v>
      </c>
      <c r="C968" s="4">
        <v>4</v>
      </c>
      <c r="D968" s="4">
        <v>0</v>
      </c>
      <c r="E968" s="4">
        <v>1</v>
      </c>
      <c r="F968" s="4">
        <v>1</v>
      </c>
      <c r="G968" s="4">
        <v>1</v>
      </c>
      <c r="H968" s="4">
        <v>0</v>
      </c>
      <c r="I968" s="4" t="s">
        <v>1</v>
      </c>
      <c r="K9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0.53059399691874176</v>
      </c>
    </row>
    <row r="969" spans="1:11" x14ac:dyDescent="0.3">
      <c r="A969" s="4">
        <v>34</v>
      </c>
      <c r="B969" s="4">
        <v>1500000</v>
      </c>
      <c r="C969" s="4">
        <v>3</v>
      </c>
      <c r="D969" s="4">
        <v>0</v>
      </c>
      <c r="E969" s="4">
        <v>1</v>
      </c>
      <c r="F969" s="4">
        <v>0</v>
      </c>
      <c r="G969" s="4">
        <v>1</v>
      </c>
      <c r="H969" s="4">
        <v>1</v>
      </c>
      <c r="I969" s="4" t="s">
        <v>1</v>
      </c>
      <c r="K9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0.8796732879857897</v>
      </c>
    </row>
    <row r="970" spans="1:11" x14ac:dyDescent="0.3">
      <c r="A970" s="4">
        <v>34</v>
      </c>
      <c r="B970" s="4">
        <v>1100000</v>
      </c>
      <c r="C970" s="4">
        <v>7</v>
      </c>
      <c r="D970" s="4">
        <v>1</v>
      </c>
      <c r="E970" s="4">
        <v>1</v>
      </c>
      <c r="F970" s="4">
        <v>1</v>
      </c>
      <c r="G970" s="4">
        <v>1</v>
      </c>
      <c r="H970" s="4">
        <v>0</v>
      </c>
      <c r="I970" s="4" t="s">
        <v>1</v>
      </c>
      <c r="K9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0.4699234338301127</v>
      </c>
    </row>
    <row r="971" spans="1:11" x14ac:dyDescent="0.3">
      <c r="A971" s="4">
        <v>26</v>
      </c>
      <c r="B971" s="4">
        <v>500000</v>
      </c>
      <c r="C971" s="4">
        <v>5</v>
      </c>
      <c r="D971" s="4">
        <v>0</v>
      </c>
      <c r="E971" s="4">
        <v>1</v>
      </c>
      <c r="F971" s="4">
        <v>1</v>
      </c>
      <c r="G971" s="4">
        <v>0</v>
      </c>
      <c r="H971" s="4">
        <v>0</v>
      </c>
      <c r="I971" s="4" t="s">
        <v>1</v>
      </c>
      <c r="K9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7.2343470163430262E-2</v>
      </c>
    </row>
    <row r="972" spans="1:11" x14ac:dyDescent="0.3">
      <c r="A972" s="4">
        <v>25</v>
      </c>
      <c r="B972" s="4">
        <v>1400000</v>
      </c>
      <c r="C972" s="4">
        <v>5</v>
      </c>
      <c r="D972" s="4">
        <v>0</v>
      </c>
      <c r="E972" s="4">
        <v>1</v>
      </c>
      <c r="F972" s="4">
        <v>1</v>
      </c>
      <c r="G972" s="4">
        <v>1</v>
      </c>
      <c r="H972" s="4">
        <v>1</v>
      </c>
      <c r="I972" s="4" t="s">
        <v>1</v>
      </c>
      <c r="K9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0.77580358317284559</v>
      </c>
    </row>
    <row r="973" spans="1:11" x14ac:dyDescent="0.3">
      <c r="A973" s="4">
        <v>28</v>
      </c>
      <c r="B973" s="4">
        <v>300000</v>
      </c>
      <c r="C973" s="4">
        <v>7</v>
      </c>
      <c r="D973" s="4">
        <v>1</v>
      </c>
      <c r="E973" s="4">
        <v>1</v>
      </c>
      <c r="F973" s="4">
        <v>1</v>
      </c>
      <c r="G973" s="4">
        <v>0</v>
      </c>
      <c r="H973" s="4">
        <v>0</v>
      </c>
      <c r="I973" s="4" t="s">
        <v>1</v>
      </c>
      <c r="K9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5.2083381369193486E-2</v>
      </c>
    </row>
    <row r="974" spans="1:11" x14ac:dyDescent="0.3">
      <c r="A974" s="4">
        <v>26</v>
      </c>
      <c r="B974" s="4">
        <v>600000</v>
      </c>
      <c r="C974" s="4">
        <v>3</v>
      </c>
      <c r="D974" s="4">
        <v>0</v>
      </c>
      <c r="E974" s="4">
        <v>1</v>
      </c>
      <c r="F974" s="4">
        <v>0</v>
      </c>
      <c r="G974" s="4">
        <v>0</v>
      </c>
      <c r="H974" s="4">
        <v>0</v>
      </c>
      <c r="I974" s="4" t="s">
        <v>1</v>
      </c>
      <c r="K9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5.3577047102179323E-2</v>
      </c>
    </row>
    <row r="975" spans="1:11" x14ac:dyDescent="0.3">
      <c r="A975" s="4">
        <v>28</v>
      </c>
      <c r="B975" s="4">
        <v>550000</v>
      </c>
      <c r="C975" s="4">
        <v>4</v>
      </c>
      <c r="D975" s="4">
        <v>0</v>
      </c>
      <c r="E975" s="4">
        <v>1</v>
      </c>
      <c r="F975" s="4">
        <v>0</v>
      </c>
      <c r="G975" s="4">
        <v>0</v>
      </c>
      <c r="H975" s="4">
        <v>0</v>
      </c>
      <c r="I975" s="4" t="s">
        <v>1</v>
      </c>
      <c r="K9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8.2789230156427321E-2</v>
      </c>
    </row>
    <row r="976" spans="1:11" x14ac:dyDescent="0.3">
      <c r="A976" s="4">
        <v>35</v>
      </c>
      <c r="B976" s="4">
        <v>950000</v>
      </c>
      <c r="C976" s="4">
        <v>6</v>
      </c>
      <c r="D976" s="4">
        <v>0</v>
      </c>
      <c r="E976" s="4">
        <v>0</v>
      </c>
      <c r="F976" s="4">
        <v>0</v>
      </c>
      <c r="G976" s="4">
        <v>0</v>
      </c>
      <c r="H976" s="4">
        <v>1</v>
      </c>
      <c r="I976" s="4" t="s">
        <v>1</v>
      </c>
      <c r="K9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0.7663847379409322</v>
      </c>
    </row>
    <row r="977" spans="1:11" x14ac:dyDescent="0.3">
      <c r="A977" s="4">
        <v>29</v>
      </c>
      <c r="B977" s="4">
        <v>500000</v>
      </c>
      <c r="C977" s="4">
        <v>3</v>
      </c>
      <c r="D977" s="4">
        <v>0</v>
      </c>
      <c r="E977" s="4">
        <v>1</v>
      </c>
      <c r="F977" s="4">
        <v>0</v>
      </c>
      <c r="G977" s="4">
        <v>0</v>
      </c>
      <c r="H977" s="4">
        <v>0</v>
      </c>
      <c r="I977" s="4" t="s">
        <v>1</v>
      </c>
      <c r="K9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6.384379206002859E-2</v>
      </c>
    </row>
    <row r="978" spans="1:11" x14ac:dyDescent="0.3">
      <c r="A978" s="4">
        <v>29</v>
      </c>
      <c r="B978" s="4">
        <v>1200000</v>
      </c>
      <c r="C978" s="4">
        <v>5</v>
      </c>
      <c r="D978" s="4">
        <v>0</v>
      </c>
      <c r="E978" s="4">
        <v>1</v>
      </c>
      <c r="F978" s="4">
        <v>0</v>
      </c>
      <c r="G978" s="4">
        <v>0</v>
      </c>
      <c r="H978" s="4">
        <v>0</v>
      </c>
      <c r="I978" s="4" t="s">
        <v>1</v>
      </c>
      <c r="K9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0.31265892711505283</v>
      </c>
    </row>
    <row r="979" spans="1:11" x14ac:dyDescent="0.3">
      <c r="A979" s="4">
        <v>28</v>
      </c>
      <c r="B979" s="4">
        <v>700000</v>
      </c>
      <c r="C979" s="4">
        <v>4</v>
      </c>
      <c r="D979" s="4">
        <v>0</v>
      </c>
      <c r="E979" s="4">
        <v>1</v>
      </c>
      <c r="F979" s="4">
        <v>0</v>
      </c>
      <c r="G979" s="4">
        <v>0</v>
      </c>
      <c r="H979" s="4">
        <v>0</v>
      </c>
      <c r="I979" s="4" t="s">
        <v>1</v>
      </c>
      <c r="K9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0.12870717665675097</v>
      </c>
    </row>
    <row r="980" spans="1:11" x14ac:dyDescent="0.3">
      <c r="A980" s="4">
        <v>28</v>
      </c>
      <c r="B980" s="4">
        <v>550000</v>
      </c>
      <c r="C980" s="4">
        <v>6</v>
      </c>
      <c r="D980" s="4">
        <v>0</v>
      </c>
      <c r="E980" s="4">
        <v>1</v>
      </c>
      <c r="F980" s="4">
        <v>0</v>
      </c>
      <c r="G980" s="4">
        <v>1</v>
      </c>
      <c r="H980" s="4">
        <v>0</v>
      </c>
      <c r="I980" s="4" t="s">
        <v>1</v>
      </c>
      <c r="K9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0.20850753408633749</v>
      </c>
    </row>
    <row r="981" spans="1:11" x14ac:dyDescent="0.3">
      <c r="A981" s="4">
        <v>28</v>
      </c>
      <c r="B981" s="4">
        <v>1250000</v>
      </c>
      <c r="C981" s="4">
        <v>3</v>
      </c>
      <c r="D981" s="4">
        <v>0</v>
      </c>
      <c r="E981" s="4">
        <v>1</v>
      </c>
      <c r="F981" s="4">
        <v>0</v>
      </c>
      <c r="G981" s="4">
        <v>0</v>
      </c>
      <c r="H981" s="4">
        <v>0</v>
      </c>
      <c r="I981" s="4" t="s">
        <v>1</v>
      </c>
      <c r="K9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0.27980728813118072</v>
      </c>
    </row>
    <row r="982" spans="1:11" x14ac:dyDescent="0.3">
      <c r="A982" s="4">
        <v>25</v>
      </c>
      <c r="B982" s="4">
        <v>1150000</v>
      </c>
      <c r="C982" s="4">
        <v>4</v>
      </c>
      <c r="D982" s="4">
        <v>0</v>
      </c>
      <c r="E982" s="4">
        <v>0</v>
      </c>
      <c r="F982" s="4">
        <v>0</v>
      </c>
      <c r="G982" s="4">
        <v>1</v>
      </c>
      <c r="H982" s="4">
        <v>0</v>
      </c>
      <c r="I982" s="4" t="s">
        <v>1</v>
      </c>
      <c r="K9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0.39761008556470817</v>
      </c>
    </row>
    <row r="983" spans="1:11" x14ac:dyDescent="0.3">
      <c r="A983" s="4">
        <v>31</v>
      </c>
      <c r="B983" s="4">
        <v>300000</v>
      </c>
      <c r="C983" s="4">
        <v>5</v>
      </c>
      <c r="D983" s="4">
        <v>1</v>
      </c>
      <c r="E983" s="4">
        <v>0</v>
      </c>
      <c r="F983" s="4">
        <v>0</v>
      </c>
      <c r="G983" s="4">
        <v>0</v>
      </c>
      <c r="H983" s="4">
        <v>0</v>
      </c>
      <c r="I983" s="4" t="s">
        <v>1</v>
      </c>
      <c r="K9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0.12442456275444685</v>
      </c>
    </row>
    <row r="984" spans="1:11" x14ac:dyDescent="0.3">
      <c r="A984" s="4">
        <v>34</v>
      </c>
      <c r="B984" s="4">
        <v>1300000</v>
      </c>
      <c r="C984" s="4">
        <v>6</v>
      </c>
      <c r="D984" s="4">
        <v>0</v>
      </c>
      <c r="E984" s="4">
        <v>0</v>
      </c>
      <c r="F984" s="4">
        <v>0</v>
      </c>
      <c r="G984" s="4">
        <v>0</v>
      </c>
      <c r="H984" s="4">
        <v>0</v>
      </c>
      <c r="I984" s="4" t="s">
        <v>1</v>
      </c>
      <c r="K9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0.50950862544967801</v>
      </c>
    </row>
    <row r="985" spans="1:11" x14ac:dyDescent="0.3">
      <c r="A985" s="4">
        <v>28</v>
      </c>
      <c r="B985" s="4">
        <v>750000</v>
      </c>
      <c r="C985" s="4">
        <v>5</v>
      </c>
      <c r="D985" s="4">
        <v>0</v>
      </c>
      <c r="E985" s="4">
        <v>1</v>
      </c>
      <c r="F985" s="4">
        <v>0</v>
      </c>
      <c r="G985" s="4">
        <v>0</v>
      </c>
      <c r="H985" s="4">
        <v>0</v>
      </c>
      <c r="I985" s="4" t="s">
        <v>1</v>
      </c>
      <c r="K9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0.16127885118361579</v>
      </c>
    </row>
    <row r="986" spans="1:11" x14ac:dyDescent="0.3">
      <c r="A986" s="4">
        <v>29</v>
      </c>
      <c r="B986" s="4">
        <v>350000</v>
      </c>
      <c r="C986" s="4">
        <v>9</v>
      </c>
      <c r="D986" s="4">
        <v>0</v>
      </c>
      <c r="E986" s="4">
        <v>1</v>
      </c>
      <c r="F986" s="4">
        <v>0</v>
      </c>
      <c r="G986" s="4">
        <v>0</v>
      </c>
      <c r="H986" s="4">
        <v>0</v>
      </c>
      <c r="I986" s="4" t="s">
        <v>1</v>
      </c>
      <c r="K9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0.1215199997202467</v>
      </c>
    </row>
    <row r="987" spans="1:11" x14ac:dyDescent="0.3">
      <c r="A987" s="4">
        <v>26</v>
      </c>
      <c r="B987" s="4">
        <v>500000</v>
      </c>
      <c r="C987" s="4">
        <v>5</v>
      </c>
      <c r="D987" s="4">
        <v>0</v>
      </c>
      <c r="E987" s="4">
        <v>1</v>
      </c>
      <c r="F987" s="4">
        <v>1</v>
      </c>
      <c r="G987" s="4">
        <v>0</v>
      </c>
      <c r="H987" s="4">
        <v>0</v>
      </c>
      <c r="I987" s="4" t="s">
        <v>1</v>
      </c>
      <c r="K9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7.2343470163430262E-2</v>
      </c>
    </row>
    <row r="988" spans="1:11" x14ac:dyDescent="0.3">
      <c r="A988" s="4">
        <v>34</v>
      </c>
      <c r="B988" s="4">
        <v>1050000</v>
      </c>
      <c r="C988" s="4">
        <v>8</v>
      </c>
      <c r="D988" s="4">
        <v>0</v>
      </c>
      <c r="E988" s="4">
        <v>1</v>
      </c>
      <c r="F988" s="4">
        <v>1</v>
      </c>
      <c r="G988" s="4">
        <v>0</v>
      </c>
      <c r="H988" s="4">
        <v>0</v>
      </c>
      <c r="I988" s="4" t="s">
        <v>1</v>
      </c>
      <c r="K9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0.40151624252195023</v>
      </c>
    </row>
    <row r="989" spans="1:11" x14ac:dyDescent="0.3">
      <c r="A989" s="4">
        <v>29</v>
      </c>
      <c r="B989" s="4">
        <v>1350000</v>
      </c>
      <c r="C989" s="4">
        <v>8</v>
      </c>
      <c r="D989" s="4">
        <v>0</v>
      </c>
      <c r="E989" s="4">
        <v>1</v>
      </c>
      <c r="F989" s="4">
        <v>0</v>
      </c>
      <c r="G989" s="4">
        <v>0</v>
      </c>
      <c r="H989" s="4">
        <v>1</v>
      </c>
      <c r="I989" s="4" t="s">
        <v>1</v>
      </c>
      <c r="K9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0.76076570192385728</v>
      </c>
    </row>
    <row r="990" spans="1:11" x14ac:dyDescent="0.3">
      <c r="A990" s="4">
        <v>28</v>
      </c>
      <c r="B990" s="4">
        <v>1350000</v>
      </c>
      <c r="C990" s="4">
        <v>5</v>
      </c>
      <c r="D990" s="4">
        <v>0</v>
      </c>
      <c r="E990" s="4">
        <v>1</v>
      </c>
      <c r="F990" s="4">
        <v>0</v>
      </c>
      <c r="G990" s="4">
        <v>0</v>
      </c>
      <c r="H990" s="4">
        <v>1</v>
      </c>
      <c r="I990" s="4" t="s">
        <v>1</v>
      </c>
      <c r="K9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0.69534238841312024</v>
      </c>
    </row>
    <row r="991" spans="1:11" x14ac:dyDescent="0.3">
      <c r="A991" s="4">
        <v>28</v>
      </c>
      <c r="B991" s="4">
        <v>700000</v>
      </c>
      <c r="C991" s="4">
        <v>3</v>
      </c>
      <c r="D991" s="4">
        <v>0</v>
      </c>
      <c r="E991" s="4">
        <v>1</v>
      </c>
      <c r="F991" s="4">
        <v>0</v>
      </c>
      <c r="G991" s="4">
        <v>0</v>
      </c>
      <c r="H991" s="4">
        <v>0</v>
      </c>
      <c r="I991" s="4" t="s">
        <v>1</v>
      </c>
      <c r="K9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0.11144148429666069</v>
      </c>
    </row>
    <row r="992" spans="1:11" x14ac:dyDescent="0.3">
      <c r="A992" s="4">
        <v>34</v>
      </c>
      <c r="B992" s="4">
        <v>950000</v>
      </c>
      <c r="C992" s="4">
        <v>3</v>
      </c>
      <c r="D992" s="4">
        <v>0</v>
      </c>
      <c r="E992" s="4">
        <v>0</v>
      </c>
      <c r="F992" s="4">
        <v>0</v>
      </c>
      <c r="G992" s="4">
        <v>1</v>
      </c>
      <c r="H992" s="4">
        <v>0</v>
      </c>
      <c r="I992" s="4" t="s">
        <v>1</v>
      </c>
      <c r="K9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0.44175659241171483</v>
      </c>
    </row>
    <row r="993" spans="1:11" x14ac:dyDescent="0.3">
      <c r="A993" s="4">
        <v>33</v>
      </c>
      <c r="B993" s="4">
        <v>750000</v>
      </c>
      <c r="C993" s="4">
        <v>7</v>
      </c>
      <c r="D993" s="4">
        <v>0</v>
      </c>
      <c r="E993" s="4">
        <v>1</v>
      </c>
      <c r="F993" s="4">
        <v>1</v>
      </c>
      <c r="G993" s="4">
        <v>0</v>
      </c>
      <c r="H993" s="4">
        <v>0</v>
      </c>
      <c r="I993" s="4" t="s">
        <v>1</v>
      </c>
      <c r="K9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0.2787884207307465</v>
      </c>
    </row>
    <row r="994" spans="1:11" x14ac:dyDescent="0.3">
      <c r="A994" s="4">
        <v>27</v>
      </c>
      <c r="B994" s="4">
        <v>1050000</v>
      </c>
      <c r="C994" s="4">
        <v>7</v>
      </c>
      <c r="D994" s="4">
        <v>1</v>
      </c>
      <c r="E994" s="4">
        <v>1</v>
      </c>
      <c r="F994" s="4">
        <v>0</v>
      </c>
      <c r="G994" s="4">
        <v>0</v>
      </c>
      <c r="H994" s="4">
        <v>0</v>
      </c>
      <c r="I994" s="4" t="s">
        <v>1</v>
      </c>
      <c r="K9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0.25319987476572614</v>
      </c>
    </row>
    <row r="995" spans="1:11" x14ac:dyDescent="0.3">
      <c r="A995" s="4">
        <v>28</v>
      </c>
      <c r="B995" s="4">
        <v>300000</v>
      </c>
      <c r="C995" s="4">
        <v>3</v>
      </c>
      <c r="D995" s="4">
        <v>1</v>
      </c>
      <c r="E995" s="4">
        <v>1</v>
      </c>
      <c r="F995" s="4">
        <v>1</v>
      </c>
      <c r="G995" s="4">
        <v>0</v>
      </c>
      <c r="H995" s="4">
        <v>0</v>
      </c>
      <c r="I995" s="4" t="s">
        <v>1</v>
      </c>
      <c r="K9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-1.6979388071167729E-2</v>
      </c>
    </row>
    <row r="996" spans="1:11" x14ac:dyDescent="0.3">
      <c r="A996" s="4">
        <v>31</v>
      </c>
      <c r="B996" s="4">
        <v>1350000</v>
      </c>
      <c r="C996" s="4">
        <v>7</v>
      </c>
      <c r="D996" s="4">
        <v>0</v>
      </c>
      <c r="E996" s="4">
        <v>1</v>
      </c>
      <c r="F996" s="4">
        <v>0</v>
      </c>
      <c r="G996" s="4">
        <v>1</v>
      </c>
      <c r="H996" s="4">
        <v>1</v>
      </c>
      <c r="I996" s="4" t="s">
        <v>1</v>
      </c>
      <c r="K9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0.86193940163442884</v>
      </c>
    </row>
    <row r="997" spans="1:11" x14ac:dyDescent="0.3">
      <c r="A997" s="4">
        <v>28</v>
      </c>
      <c r="B997" s="4">
        <v>550000</v>
      </c>
      <c r="C997" s="4">
        <v>4</v>
      </c>
      <c r="D997" s="4">
        <v>0</v>
      </c>
      <c r="E997" s="4">
        <v>1</v>
      </c>
      <c r="F997" s="4">
        <v>0</v>
      </c>
      <c r="G997" s="4">
        <v>0</v>
      </c>
      <c r="H997" s="4">
        <v>0</v>
      </c>
      <c r="I997" s="4" t="s">
        <v>1</v>
      </c>
      <c r="K9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8.2789230156427321E-2</v>
      </c>
    </row>
    <row r="998" spans="1:11" x14ac:dyDescent="0.3">
      <c r="A998" s="4">
        <v>31</v>
      </c>
      <c r="B998" s="4">
        <v>1300000</v>
      </c>
      <c r="C998" s="4">
        <v>8</v>
      </c>
      <c r="D998" s="4">
        <v>1</v>
      </c>
      <c r="E998" s="4">
        <v>1</v>
      </c>
      <c r="F998" s="4">
        <v>0</v>
      </c>
      <c r="G998" s="4">
        <v>0</v>
      </c>
      <c r="H998" s="4">
        <v>0</v>
      </c>
      <c r="I998" s="4" t="s">
        <v>1</v>
      </c>
      <c r="K9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0.40150042368155375</v>
      </c>
    </row>
    <row r="999" spans="1:11" x14ac:dyDescent="0.3">
      <c r="A999" s="4">
        <v>29</v>
      </c>
      <c r="B999" s="4">
        <v>1050000</v>
      </c>
      <c r="C999" s="4">
        <v>7</v>
      </c>
      <c r="D999" s="4">
        <v>0</v>
      </c>
      <c r="E999" s="4">
        <v>1</v>
      </c>
      <c r="F999" s="4">
        <v>0</v>
      </c>
      <c r="G999" s="4">
        <v>0</v>
      </c>
      <c r="H999" s="4">
        <v>0</v>
      </c>
      <c r="I999" s="4" t="s">
        <v>1</v>
      </c>
      <c r="K9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0.30127236533490981</v>
      </c>
    </row>
    <row r="1000" spans="1:11" x14ac:dyDescent="0.3">
      <c r="A1000" s="4">
        <v>30</v>
      </c>
      <c r="B1000" s="4">
        <v>800000</v>
      </c>
      <c r="C1000" s="4">
        <v>3</v>
      </c>
      <c r="D1000" s="4">
        <v>0</v>
      </c>
      <c r="E1000" s="4">
        <v>0</v>
      </c>
      <c r="F1000" s="4">
        <v>0</v>
      </c>
      <c r="G1000" s="4">
        <v>0</v>
      </c>
      <c r="H1000" s="4">
        <v>0</v>
      </c>
      <c r="I1000" s="4" t="s">
        <v>1</v>
      </c>
      <c r="K10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0.25014678097979709</v>
      </c>
    </row>
    <row r="1001" spans="1:11" x14ac:dyDescent="0.3">
      <c r="A1001" s="4">
        <v>28</v>
      </c>
      <c r="B1001" s="4">
        <v>800000</v>
      </c>
      <c r="C1001" s="4">
        <v>4</v>
      </c>
      <c r="D1001" s="4">
        <v>0</v>
      </c>
      <c r="E1001" s="4">
        <v>1</v>
      </c>
      <c r="F1001" s="4">
        <v>0</v>
      </c>
      <c r="G1001" s="4">
        <v>1</v>
      </c>
      <c r="H1001" s="4">
        <v>0</v>
      </c>
      <c r="I1001" s="4" t="s">
        <v>1</v>
      </c>
      <c r="K10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0.25050606020002969</v>
      </c>
    </row>
    <row r="1002" spans="1:11" x14ac:dyDescent="0.3">
      <c r="A1002" s="4">
        <v>26</v>
      </c>
      <c r="B1002" s="4">
        <v>1400000</v>
      </c>
      <c r="C1002" s="4">
        <v>6</v>
      </c>
      <c r="D1002" s="4">
        <v>0</v>
      </c>
      <c r="E1002" s="4">
        <v>1</v>
      </c>
      <c r="F1002" s="4">
        <v>1</v>
      </c>
      <c r="G1002" s="4">
        <v>0</v>
      </c>
      <c r="H1002" s="4">
        <v>1</v>
      </c>
      <c r="I1002" s="4" t="s">
        <v>1</v>
      </c>
      <c r="K10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0.7155085927536724</v>
      </c>
    </row>
    <row r="1003" spans="1:11" x14ac:dyDescent="0.3">
      <c r="A1003" s="4">
        <v>28</v>
      </c>
      <c r="B1003" s="4">
        <v>750000</v>
      </c>
      <c r="C1003" s="4">
        <v>5</v>
      </c>
      <c r="D1003" s="4">
        <v>0</v>
      </c>
      <c r="E1003" s="4">
        <v>1</v>
      </c>
      <c r="F1003" s="4">
        <v>1</v>
      </c>
      <c r="G1003" s="4">
        <v>1</v>
      </c>
      <c r="H1003" s="4">
        <v>0</v>
      </c>
      <c r="I1003" s="4" t="s">
        <v>1</v>
      </c>
      <c r="K10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0.2673127730679648</v>
      </c>
    </row>
    <row r="1004" spans="1:11" x14ac:dyDescent="0.3">
      <c r="A1004" s="4">
        <v>28</v>
      </c>
      <c r="B1004" s="4">
        <v>800000</v>
      </c>
      <c r="C1004" s="4">
        <v>6</v>
      </c>
      <c r="D1004" s="4">
        <v>0</v>
      </c>
      <c r="E1004" s="4">
        <v>1</v>
      </c>
      <c r="F1004" s="4">
        <v>0</v>
      </c>
      <c r="G1004" s="4">
        <v>0</v>
      </c>
      <c r="H1004" s="4">
        <v>1</v>
      </c>
      <c r="I1004" s="4" t="s">
        <v>1</v>
      </c>
      <c r="K10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0.54424227693869054</v>
      </c>
    </row>
    <row r="1005" spans="1:11" x14ac:dyDescent="0.3">
      <c r="A1005" s="4">
        <v>31</v>
      </c>
      <c r="B1005" s="4">
        <v>400000</v>
      </c>
      <c r="C1005" s="4">
        <v>4</v>
      </c>
      <c r="D1005" s="4">
        <v>1</v>
      </c>
      <c r="E1005" s="4">
        <v>0</v>
      </c>
      <c r="F1005" s="4">
        <v>1</v>
      </c>
      <c r="G1005" s="4">
        <v>0</v>
      </c>
      <c r="H1005" s="4">
        <v>0</v>
      </c>
      <c r="I1005" s="4" t="s">
        <v>1</v>
      </c>
      <c r="K10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0.15261783740252513</v>
      </c>
    </row>
    <row r="1006" spans="1:11" x14ac:dyDescent="0.3">
      <c r="A1006" s="4">
        <v>31</v>
      </c>
      <c r="B1006" s="4">
        <v>1250000</v>
      </c>
      <c r="C1006" s="4">
        <v>8</v>
      </c>
      <c r="D1006" s="4">
        <v>0</v>
      </c>
      <c r="E1006" s="4">
        <v>1</v>
      </c>
      <c r="F1006" s="4">
        <v>0</v>
      </c>
      <c r="G1006" s="4">
        <v>0</v>
      </c>
      <c r="H1006" s="4">
        <v>0</v>
      </c>
      <c r="I1006" s="4" t="s">
        <v>1</v>
      </c>
      <c r="K10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0.40701445922303064</v>
      </c>
    </row>
    <row r="1007" spans="1:11" x14ac:dyDescent="0.3">
      <c r="A1007" s="4">
        <v>27</v>
      </c>
      <c r="B1007" s="4">
        <v>500000</v>
      </c>
      <c r="C1007" s="4">
        <v>5</v>
      </c>
      <c r="D1007" s="4">
        <v>1</v>
      </c>
      <c r="E1007" s="4">
        <v>1</v>
      </c>
      <c r="F1007" s="4">
        <v>0</v>
      </c>
      <c r="G1007" s="4">
        <v>0</v>
      </c>
      <c r="H1007" s="4">
        <v>0</v>
      </c>
      <c r="I1007" s="4" t="s">
        <v>1</v>
      </c>
      <c r="K10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5.0302686211025502E-2</v>
      </c>
    </row>
    <row r="1008" spans="1:11" x14ac:dyDescent="0.3">
      <c r="A1008" s="4">
        <v>35</v>
      </c>
      <c r="B1008" s="4">
        <v>800000</v>
      </c>
      <c r="C1008" s="4">
        <v>6</v>
      </c>
      <c r="D1008" s="4">
        <v>0</v>
      </c>
      <c r="E1008" s="4">
        <v>0</v>
      </c>
      <c r="F1008" s="4">
        <v>1</v>
      </c>
      <c r="G1008" s="4">
        <v>0</v>
      </c>
      <c r="H1008" s="4">
        <v>1</v>
      </c>
      <c r="I1008" s="4" t="s">
        <v>1</v>
      </c>
      <c r="K10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0.73531379411522801</v>
      </c>
    </row>
    <row r="1009" spans="1:11" x14ac:dyDescent="0.3">
      <c r="A1009" s="4">
        <v>26</v>
      </c>
      <c r="B1009" s="4">
        <v>1400000</v>
      </c>
      <c r="C1009" s="4">
        <v>5</v>
      </c>
      <c r="D1009" s="4">
        <v>0</v>
      </c>
      <c r="E1009" s="4">
        <v>1</v>
      </c>
      <c r="F1009" s="4">
        <v>0</v>
      </c>
      <c r="G1009" s="4">
        <v>0</v>
      </c>
      <c r="H1009" s="4">
        <v>1</v>
      </c>
      <c r="I1009" s="4" t="s">
        <v>1</v>
      </c>
      <c r="K10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0.68339589771896259</v>
      </c>
    </row>
    <row r="1010" spans="1:11" x14ac:dyDescent="0.3">
      <c r="A1010" s="4">
        <v>29</v>
      </c>
      <c r="B1010" s="4">
        <v>1100000</v>
      </c>
      <c r="C1010" s="4">
        <v>6</v>
      </c>
      <c r="D1010" s="4">
        <v>0</v>
      </c>
      <c r="E1010" s="4">
        <v>1</v>
      </c>
      <c r="F1010" s="4">
        <v>0</v>
      </c>
      <c r="G1010" s="4">
        <v>1</v>
      </c>
      <c r="H1010" s="4">
        <v>0</v>
      </c>
      <c r="I1010" s="4" t="s">
        <v>1</v>
      </c>
      <c r="K10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0.39049957435132371</v>
      </c>
    </row>
    <row r="1011" spans="1:11" x14ac:dyDescent="0.3">
      <c r="A1011" s="4">
        <v>31</v>
      </c>
      <c r="B1011" s="4">
        <v>1300000</v>
      </c>
      <c r="C1011" s="4">
        <v>2</v>
      </c>
      <c r="D1011" s="4">
        <v>1</v>
      </c>
      <c r="E1011" s="4">
        <v>1</v>
      </c>
      <c r="F1011" s="4">
        <v>0</v>
      </c>
      <c r="G1011" s="4">
        <v>1</v>
      </c>
      <c r="H1011" s="4">
        <v>0</v>
      </c>
      <c r="I1011" s="4" t="s">
        <v>1</v>
      </c>
      <c r="K10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0.38909318873074156</v>
      </c>
    </row>
    <row r="1012" spans="1:11" x14ac:dyDescent="0.3">
      <c r="A1012" s="4">
        <v>31</v>
      </c>
      <c r="B1012" s="4">
        <v>400000</v>
      </c>
      <c r="C1012" s="4">
        <v>5</v>
      </c>
      <c r="D1012" s="4">
        <v>1</v>
      </c>
      <c r="E1012" s="4">
        <v>1</v>
      </c>
      <c r="F1012" s="4">
        <v>0</v>
      </c>
      <c r="G1012" s="4">
        <v>0</v>
      </c>
      <c r="H1012" s="4">
        <v>0</v>
      </c>
      <c r="I1012" s="4" t="s">
        <v>1</v>
      </c>
      <c r="K10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7.4195667599340945E-2</v>
      </c>
    </row>
    <row r="1013" spans="1:11" x14ac:dyDescent="0.3">
      <c r="A1013" s="4">
        <v>35</v>
      </c>
      <c r="B1013" s="4">
        <v>1100000</v>
      </c>
      <c r="C1013" s="4">
        <v>5</v>
      </c>
      <c r="D1013" s="4">
        <v>1</v>
      </c>
      <c r="E1013" s="4">
        <v>1</v>
      </c>
      <c r="F1013" s="4">
        <v>0</v>
      </c>
      <c r="G1013" s="4">
        <v>0</v>
      </c>
      <c r="H1013" s="4">
        <v>0</v>
      </c>
      <c r="I1013" s="4" t="s">
        <v>1</v>
      </c>
      <c r="K10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0.34298436365604917</v>
      </c>
    </row>
    <row r="1014" spans="1:11" x14ac:dyDescent="0.3">
      <c r="A1014" s="4">
        <v>28</v>
      </c>
      <c r="B1014" s="4">
        <v>800000</v>
      </c>
      <c r="C1014" s="4">
        <v>2</v>
      </c>
      <c r="D1014" s="4">
        <v>0</v>
      </c>
      <c r="E1014" s="4">
        <v>1</v>
      </c>
      <c r="F1014" s="4">
        <v>1</v>
      </c>
      <c r="G1014" s="4">
        <v>0</v>
      </c>
      <c r="H1014" s="4">
        <v>0</v>
      </c>
      <c r="I1014" s="4" t="s">
        <v>1</v>
      </c>
      <c r="K10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0.13963475894473892</v>
      </c>
    </row>
    <row r="1015" spans="1:11" x14ac:dyDescent="0.3">
      <c r="A1015" s="4">
        <v>29</v>
      </c>
      <c r="B1015" s="4">
        <v>1050000</v>
      </c>
      <c r="C1015" s="4">
        <v>5</v>
      </c>
      <c r="D1015" s="4">
        <v>0</v>
      </c>
      <c r="E1015" s="4">
        <v>1</v>
      </c>
      <c r="F1015" s="4">
        <v>0</v>
      </c>
      <c r="G1015" s="4">
        <v>0</v>
      </c>
      <c r="H1015" s="4">
        <v>0</v>
      </c>
      <c r="I1015" s="4" t="s">
        <v>1</v>
      </c>
      <c r="K10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0.26674098061472917</v>
      </c>
    </row>
    <row r="1016" spans="1:11" x14ac:dyDescent="0.3">
      <c r="A1016" s="4">
        <v>29</v>
      </c>
      <c r="B1016" s="4">
        <v>500000</v>
      </c>
      <c r="C1016" s="4">
        <v>4</v>
      </c>
      <c r="D1016" s="4">
        <v>0</v>
      </c>
      <c r="E1016" s="4">
        <v>1</v>
      </c>
      <c r="F1016" s="4">
        <v>0</v>
      </c>
      <c r="G1016" s="4">
        <v>0</v>
      </c>
      <c r="H1016" s="4">
        <v>0</v>
      </c>
      <c r="I1016" s="4" t="s">
        <v>1</v>
      </c>
      <c r="K10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8.110948442011888E-2</v>
      </c>
    </row>
    <row r="1017" spans="1:11" x14ac:dyDescent="0.3">
      <c r="A1017" s="4">
        <v>28</v>
      </c>
      <c r="B1017" s="4">
        <v>700000</v>
      </c>
      <c r="C1017" s="4">
        <v>3</v>
      </c>
      <c r="D1017" s="4">
        <v>0</v>
      </c>
      <c r="E1017" s="4">
        <v>1</v>
      </c>
      <c r="F1017" s="4">
        <v>0</v>
      </c>
      <c r="G1017" s="4">
        <v>0</v>
      </c>
      <c r="H1017" s="4">
        <v>0</v>
      </c>
      <c r="I1017" s="4" t="s">
        <v>1</v>
      </c>
      <c r="K10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0.11144148429666069</v>
      </c>
    </row>
    <row r="1018" spans="1:11" x14ac:dyDescent="0.3">
      <c r="A1018" s="4">
        <v>28</v>
      </c>
      <c r="B1018" s="4">
        <v>800000</v>
      </c>
      <c r="C1018" s="4">
        <v>6</v>
      </c>
      <c r="D1018" s="4">
        <v>0</v>
      </c>
      <c r="E1018" s="4">
        <v>1</v>
      </c>
      <c r="F1018" s="4">
        <v>1</v>
      </c>
      <c r="G1018" s="4">
        <v>0</v>
      </c>
      <c r="H1018" s="4">
        <v>0</v>
      </c>
      <c r="I1018" s="4" t="s">
        <v>1</v>
      </c>
      <c r="K10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0.20869752838510011</v>
      </c>
    </row>
    <row r="1019" spans="1:11" x14ac:dyDescent="0.3">
      <c r="A1019" s="4">
        <v>31</v>
      </c>
      <c r="B1019" s="4">
        <v>1250000</v>
      </c>
      <c r="C1019" s="4">
        <v>6</v>
      </c>
      <c r="D1019" s="4">
        <v>0</v>
      </c>
      <c r="E1019" s="4">
        <v>1</v>
      </c>
      <c r="F1019" s="4">
        <v>0</v>
      </c>
      <c r="G1019" s="4">
        <v>0</v>
      </c>
      <c r="H1019" s="4">
        <v>0</v>
      </c>
      <c r="I1019" s="4" t="s">
        <v>1</v>
      </c>
      <c r="K10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0.37248307450285006</v>
      </c>
    </row>
    <row r="1020" spans="1:11" x14ac:dyDescent="0.3">
      <c r="A1020" s="4">
        <v>27</v>
      </c>
      <c r="B1020" s="4">
        <v>1050000</v>
      </c>
      <c r="C1020" s="4">
        <v>2</v>
      </c>
      <c r="D1020" s="4">
        <v>1</v>
      </c>
      <c r="E1020" s="4">
        <v>1</v>
      </c>
      <c r="F1020" s="4">
        <v>0</v>
      </c>
      <c r="G1020" s="4">
        <v>0</v>
      </c>
      <c r="H1020" s="4">
        <v>0</v>
      </c>
      <c r="I1020" s="4" t="s">
        <v>1</v>
      </c>
      <c r="K10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0.16687141296527463</v>
      </c>
    </row>
    <row r="1021" spans="1:11" x14ac:dyDescent="0.3">
      <c r="A1021" s="4">
        <v>31</v>
      </c>
      <c r="B1021" s="4">
        <v>900000</v>
      </c>
      <c r="C1021" s="4">
        <v>5</v>
      </c>
      <c r="D1021" s="4">
        <v>0</v>
      </c>
      <c r="E1021" s="4">
        <v>1</v>
      </c>
      <c r="F1021" s="4">
        <v>1</v>
      </c>
      <c r="G1021" s="4">
        <v>0</v>
      </c>
      <c r="H1021" s="4">
        <v>0</v>
      </c>
      <c r="I1021" s="4" t="s">
        <v>1</v>
      </c>
      <c r="K10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0.26292250964995734</v>
      </c>
    </row>
    <row r="1022" spans="1:11" x14ac:dyDescent="0.3">
      <c r="A1022" s="4">
        <v>26</v>
      </c>
      <c r="B1022" s="4">
        <v>1400000</v>
      </c>
      <c r="C1022" s="4">
        <v>3</v>
      </c>
      <c r="D1022" s="4">
        <v>0</v>
      </c>
      <c r="E1022" s="4">
        <v>1</v>
      </c>
      <c r="F1022" s="4">
        <v>1</v>
      </c>
      <c r="G1022" s="4">
        <v>0</v>
      </c>
      <c r="H1022" s="4">
        <v>1</v>
      </c>
      <c r="I1022" s="4" t="s">
        <v>1</v>
      </c>
      <c r="K10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0.66371151567340148</v>
      </c>
    </row>
    <row r="1023" spans="1:11" x14ac:dyDescent="0.3">
      <c r="A1023" s="4">
        <v>28</v>
      </c>
      <c r="B1023" s="4">
        <v>300000</v>
      </c>
      <c r="C1023" s="4">
        <v>8</v>
      </c>
      <c r="D1023" s="4">
        <v>1</v>
      </c>
      <c r="E1023" s="4">
        <v>1</v>
      </c>
      <c r="F1023" s="4">
        <v>0</v>
      </c>
      <c r="G1023" s="4">
        <v>0</v>
      </c>
      <c r="H1023" s="4">
        <v>0</v>
      </c>
      <c r="I1023" s="4" t="s">
        <v>1</v>
      </c>
      <c r="K10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5.4502071054664328E-2</v>
      </c>
    </row>
    <row r="1024" spans="1:11" x14ac:dyDescent="0.3">
      <c r="A1024" s="4">
        <v>33</v>
      </c>
      <c r="B1024" s="4">
        <v>400000</v>
      </c>
      <c r="C1024" s="4">
        <v>6</v>
      </c>
      <c r="D1024" s="4">
        <v>1</v>
      </c>
      <c r="E1024" s="4">
        <v>1</v>
      </c>
      <c r="F1024" s="4">
        <v>0</v>
      </c>
      <c r="G1024" s="4">
        <v>0</v>
      </c>
      <c r="H1024" s="4">
        <v>0</v>
      </c>
      <c r="I1024" s="4" t="s">
        <v>1</v>
      </c>
      <c r="K10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0.11871383282036348</v>
      </c>
    </row>
    <row r="1025" spans="1:11" x14ac:dyDescent="0.3">
      <c r="A1025" s="4">
        <v>35</v>
      </c>
      <c r="B1025" s="4">
        <v>800000</v>
      </c>
      <c r="C1025" s="4">
        <v>4</v>
      </c>
      <c r="D1025" s="4">
        <v>0</v>
      </c>
      <c r="E1025" s="4">
        <v>0</v>
      </c>
      <c r="F1025" s="4">
        <v>0</v>
      </c>
      <c r="G1025" s="4">
        <v>0</v>
      </c>
      <c r="H1025" s="4">
        <v>0</v>
      </c>
      <c r="I1025" s="4" t="s">
        <v>1</v>
      </c>
      <c r="K10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0.3355436554922181</v>
      </c>
    </row>
    <row r="1026" spans="1:11" x14ac:dyDescent="0.3">
      <c r="A1026" s="4">
        <v>26</v>
      </c>
      <c r="B1026" s="4">
        <v>1250000</v>
      </c>
      <c r="C1026" s="4">
        <v>3</v>
      </c>
      <c r="D1026" s="4">
        <v>0</v>
      </c>
      <c r="E1026" s="4">
        <v>1</v>
      </c>
      <c r="F1026" s="4">
        <v>1</v>
      </c>
      <c r="G1026" s="4">
        <v>0</v>
      </c>
      <c r="H1026" s="4">
        <v>0</v>
      </c>
      <c r="I1026" s="4" t="s">
        <v>1</v>
      </c>
      <c r="K10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0.26740181794486795</v>
      </c>
    </row>
    <row r="1027" spans="1:11" x14ac:dyDescent="0.3">
      <c r="A1027" s="4">
        <v>28</v>
      </c>
      <c r="B1027" s="4">
        <v>1200000</v>
      </c>
      <c r="C1027" s="4">
        <v>6</v>
      </c>
      <c r="D1027" s="4">
        <v>0</v>
      </c>
      <c r="E1027" s="4">
        <v>1</v>
      </c>
      <c r="F1027" s="4">
        <v>1</v>
      </c>
      <c r="G1027" s="4">
        <v>0</v>
      </c>
      <c r="H1027" s="4">
        <v>0</v>
      </c>
      <c r="I1027" s="4" t="s">
        <v>1</v>
      </c>
      <c r="K10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0.33114538571929653</v>
      </c>
    </row>
    <row r="1028" spans="1:11" x14ac:dyDescent="0.3">
      <c r="A1028" s="4">
        <v>31</v>
      </c>
      <c r="B1028" s="4">
        <v>1350000</v>
      </c>
      <c r="C1028" s="4">
        <v>4</v>
      </c>
      <c r="D1028" s="4">
        <v>0</v>
      </c>
      <c r="E1028" s="4">
        <v>1</v>
      </c>
      <c r="F1028" s="4">
        <v>0</v>
      </c>
      <c r="G1028" s="4">
        <v>0</v>
      </c>
      <c r="H1028" s="4">
        <v>1</v>
      </c>
      <c r="I1028" s="4" t="s">
        <v>1</v>
      </c>
      <c r="K10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0.71895540534442837</v>
      </c>
    </row>
    <row r="1029" spans="1:11" x14ac:dyDescent="0.3">
      <c r="A1029" s="4">
        <v>28</v>
      </c>
      <c r="B1029" s="4">
        <v>1100000</v>
      </c>
      <c r="C1029" s="4">
        <v>4</v>
      </c>
      <c r="D1029" s="4">
        <v>0</v>
      </c>
      <c r="E1029" s="4">
        <v>1</v>
      </c>
      <c r="F1029" s="4">
        <v>0</v>
      </c>
      <c r="G1029" s="4">
        <v>0</v>
      </c>
      <c r="H1029" s="4">
        <v>0</v>
      </c>
      <c r="I1029" s="4" t="s">
        <v>1</v>
      </c>
      <c r="K10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0.25115503399094741</v>
      </c>
    </row>
    <row r="1030" spans="1:11" x14ac:dyDescent="0.3">
      <c r="A1030" s="4">
        <v>28</v>
      </c>
      <c r="B1030" s="4">
        <v>1400000</v>
      </c>
      <c r="C1030" s="4">
        <v>4</v>
      </c>
      <c r="D1030" s="4">
        <v>0</v>
      </c>
      <c r="E1030" s="4">
        <v>1</v>
      </c>
      <c r="F1030" s="4">
        <v>0</v>
      </c>
      <c r="G1030" s="4">
        <v>0</v>
      </c>
      <c r="H1030" s="4">
        <v>1</v>
      </c>
      <c r="I1030" s="4" t="s">
        <v>1</v>
      </c>
      <c r="K10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0.69338267821980459</v>
      </c>
    </row>
    <row r="1031" spans="1:11" x14ac:dyDescent="0.3">
      <c r="A1031" s="4">
        <v>28</v>
      </c>
      <c r="B1031" s="4">
        <v>800000</v>
      </c>
      <c r="C1031" s="4">
        <v>4</v>
      </c>
      <c r="D1031" s="4">
        <v>0</v>
      </c>
      <c r="E1031" s="4">
        <v>1</v>
      </c>
      <c r="F1031" s="4">
        <v>0</v>
      </c>
      <c r="G1031" s="4">
        <v>0</v>
      </c>
      <c r="H1031" s="4">
        <v>0</v>
      </c>
      <c r="I1031" s="4" t="s">
        <v>1</v>
      </c>
      <c r="K10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0.15931914099030009</v>
      </c>
    </row>
    <row r="1032" spans="1:11" x14ac:dyDescent="0.3">
      <c r="A1032" s="4">
        <v>27</v>
      </c>
      <c r="B1032" s="4">
        <v>500000</v>
      </c>
      <c r="C1032" s="4">
        <v>2</v>
      </c>
      <c r="D1032" s="4">
        <v>1</v>
      </c>
      <c r="E1032" s="4">
        <v>1</v>
      </c>
      <c r="F1032" s="4">
        <v>0</v>
      </c>
      <c r="G1032" s="4">
        <v>0</v>
      </c>
      <c r="H1032" s="4">
        <v>0</v>
      </c>
      <c r="I1032" s="4" t="s">
        <v>1</v>
      </c>
      <c r="K10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-1.4943908692453822E-3</v>
      </c>
    </row>
    <row r="1033" spans="1:11" x14ac:dyDescent="0.3">
      <c r="A1033" s="4">
        <v>28</v>
      </c>
      <c r="B1033" s="4">
        <v>800000</v>
      </c>
      <c r="C1033" s="4">
        <v>6</v>
      </c>
      <c r="D1033" s="4">
        <v>0</v>
      </c>
      <c r="E1033" s="4">
        <v>1</v>
      </c>
      <c r="F1033" s="4">
        <v>1</v>
      </c>
      <c r="G1033" s="4">
        <v>0</v>
      </c>
      <c r="H1033" s="4">
        <v>0</v>
      </c>
      <c r="I1033" s="4" t="s">
        <v>1</v>
      </c>
      <c r="K10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0.20869752838510011</v>
      </c>
    </row>
    <row r="1034" spans="1:11" x14ac:dyDescent="0.3">
      <c r="A1034" s="4">
        <v>31</v>
      </c>
      <c r="B1034" s="4">
        <v>1250000</v>
      </c>
      <c r="C1034" s="4">
        <v>3</v>
      </c>
      <c r="D1034" s="4">
        <v>0</v>
      </c>
      <c r="E1034" s="4">
        <v>1</v>
      </c>
      <c r="F1034" s="4">
        <v>0</v>
      </c>
      <c r="G1034" s="4">
        <v>0</v>
      </c>
      <c r="H1034" s="4">
        <v>0</v>
      </c>
      <c r="I1034" s="4" t="s">
        <v>1</v>
      </c>
      <c r="K10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0.32068599742257914</v>
      </c>
    </row>
    <row r="1035" spans="1:11" x14ac:dyDescent="0.3">
      <c r="A1035" s="4">
        <v>34</v>
      </c>
      <c r="B1035" s="4">
        <v>1500000</v>
      </c>
      <c r="C1035" s="4">
        <v>5</v>
      </c>
      <c r="D1035" s="4">
        <v>0</v>
      </c>
      <c r="E1035" s="4">
        <v>1</v>
      </c>
      <c r="F1035" s="4">
        <v>1</v>
      </c>
      <c r="G1035" s="4">
        <v>1</v>
      </c>
      <c r="H1035" s="4">
        <v>1</v>
      </c>
      <c r="I1035" s="4" t="s">
        <v>1</v>
      </c>
      <c r="K10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0.92905167538058975</v>
      </c>
    </row>
    <row r="1036" spans="1:11" x14ac:dyDescent="0.3">
      <c r="A1036" s="4">
        <v>34</v>
      </c>
      <c r="B1036" s="4">
        <v>700000</v>
      </c>
      <c r="C1036" s="4">
        <v>3</v>
      </c>
      <c r="D1036" s="4">
        <v>0</v>
      </c>
      <c r="E1036" s="4">
        <v>1</v>
      </c>
      <c r="F1036" s="4">
        <v>0</v>
      </c>
      <c r="G1036" s="4">
        <v>0</v>
      </c>
      <c r="H1036" s="4">
        <v>0</v>
      </c>
      <c r="I1036" s="4" t="s">
        <v>1</v>
      </c>
      <c r="K10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0.19319890287945746</v>
      </c>
    </row>
    <row r="1037" spans="1:11" x14ac:dyDescent="0.3">
      <c r="A1037" s="4">
        <v>25</v>
      </c>
      <c r="B1037" s="4">
        <v>1700000</v>
      </c>
      <c r="C1037" s="4">
        <v>3</v>
      </c>
      <c r="D1037" s="4">
        <v>0</v>
      </c>
      <c r="E1037" s="4">
        <v>1</v>
      </c>
      <c r="F1037" s="4">
        <v>0</v>
      </c>
      <c r="G1037" s="4">
        <v>1</v>
      </c>
      <c r="H1037" s="4">
        <v>0</v>
      </c>
      <c r="I1037" s="4" t="s">
        <v>1</v>
      </c>
      <c r="K10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0.46786933755048282</v>
      </c>
    </row>
    <row r="1038" spans="1:11" x14ac:dyDescent="0.3">
      <c r="A1038" s="4">
        <v>29</v>
      </c>
      <c r="B1038" s="4">
        <v>1100000</v>
      </c>
      <c r="C1038" s="4">
        <v>2</v>
      </c>
      <c r="D1038" s="4">
        <v>0</v>
      </c>
      <c r="E1038" s="4">
        <v>1</v>
      </c>
      <c r="F1038" s="4">
        <v>0</v>
      </c>
      <c r="G1038" s="4">
        <v>0</v>
      </c>
      <c r="H1038" s="4">
        <v>0</v>
      </c>
      <c r="I1038" s="4" t="s">
        <v>1</v>
      </c>
      <c r="K10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0.23024988570123289</v>
      </c>
    </row>
    <row r="1039" spans="1:11" x14ac:dyDescent="0.3">
      <c r="A1039" s="4">
        <v>30</v>
      </c>
      <c r="B1039" s="4">
        <v>1450000</v>
      </c>
      <c r="C1039" s="4">
        <v>2</v>
      </c>
      <c r="D1039" s="4">
        <v>0</v>
      </c>
      <c r="E1039" s="4">
        <v>0</v>
      </c>
      <c r="F1039" s="4">
        <v>1</v>
      </c>
      <c r="G1039" s="4">
        <v>1</v>
      </c>
      <c r="H1039" s="4">
        <v>1</v>
      </c>
      <c r="I1039" s="4" t="s">
        <v>1</v>
      </c>
      <c r="K10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0.88828452990033491</v>
      </c>
    </row>
    <row r="1040" spans="1:11" x14ac:dyDescent="0.3">
      <c r="A1040" s="4">
        <v>34</v>
      </c>
      <c r="B1040" s="4">
        <v>1500000</v>
      </c>
      <c r="C1040" s="4">
        <v>3</v>
      </c>
      <c r="D1040" s="4">
        <v>0</v>
      </c>
      <c r="E1040" s="4">
        <v>1</v>
      </c>
      <c r="F1040" s="4">
        <v>1</v>
      </c>
      <c r="G1040" s="4">
        <v>1</v>
      </c>
      <c r="H1040" s="4">
        <v>1</v>
      </c>
      <c r="I1040" s="4" t="s">
        <v>1</v>
      </c>
      <c r="K10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0.89452029066040917</v>
      </c>
    </row>
    <row r="1041" spans="1:11" x14ac:dyDescent="0.3">
      <c r="A1041" s="4">
        <v>32</v>
      </c>
      <c r="B1041" s="4">
        <v>800000</v>
      </c>
      <c r="C1041" s="4">
        <v>6</v>
      </c>
      <c r="D1041" s="4">
        <v>1</v>
      </c>
      <c r="E1041" s="4">
        <v>1</v>
      </c>
      <c r="F1041" s="4">
        <v>0</v>
      </c>
      <c r="G1041" s="4">
        <v>1</v>
      </c>
      <c r="H1041" s="4">
        <v>0</v>
      </c>
      <c r="I1041" s="4" t="s">
        <v>1</v>
      </c>
      <c r="K10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0.31872237293382338</v>
      </c>
    </row>
    <row r="1042" spans="1:11" x14ac:dyDescent="0.3">
      <c r="A1042" s="4">
        <v>28</v>
      </c>
      <c r="B1042" s="4">
        <v>900000</v>
      </c>
      <c r="C1042" s="4">
        <v>4</v>
      </c>
      <c r="D1042" s="4">
        <v>0</v>
      </c>
      <c r="E1042" s="4">
        <v>1</v>
      </c>
      <c r="F1042" s="4">
        <v>0</v>
      </c>
      <c r="G1042" s="4">
        <v>1</v>
      </c>
      <c r="H1042" s="4">
        <v>0</v>
      </c>
      <c r="I1042" s="4" t="s">
        <v>1</v>
      </c>
      <c r="K10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0.28111802453357876</v>
      </c>
    </row>
    <row r="1043" spans="1:11" x14ac:dyDescent="0.3">
      <c r="A1043" s="4">
        <v>28</v>
      </c>
      <c r="B1043" s="4">
        <v>700000</v>
      </c>
      <c r="C1043" s="4">
        <v>3</v>
      </c>
      <c r="D1043" s="4">
        <v>0</v>
      </c>
      <c r="E1043" s="4">
        <v>1</v>
      </c>
      <c r="F1043" s="4">
        <v>0</v>
      </c>
      <c r="G1043" s="4">
        <v>0</v>
      </c>
      <c r="H1043" s="4">
        <v>0</v>
      </c>
      <c r="I1043" s="4" t="s">
        <v>1</v>
      </c>
      <c r="K10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0.11144148429666069</v>
      </c>
    </row>
    <row r="1044" spans="1:11" x14ac:dyDescent="0.3">
      <c r="A1044" s="4">
        <v>34</v>
      </c>
      <c r="B1044" s="4">
        <v>1500000</v>
      </c>
      <c r="C1044" s="4">
        <v>6</v>
      </c>
      <c r="D1044" s="4">
        <v>0</v>
      </c>
      <c r="E1044" s="4">
        <v>1</v>
      </c>
      <c r="F1044" s="4">
        <v>0</v>
      </c>
      <c r="G1044" s="4">
        <v>1</v>
      </c>
      <c r="H1044" s="4">
        <v>1</v>
      </c>
      <c r="I1044" s="4" t="s">
        <v>1</v>
      </c>
      <c r="K10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0.93147036506606051</v>
      </c>
    </row>
    <row r="1045" spans="1:11" x14ac:dyDescent="0.3">
      <c r="A1045" s="4">
        <v>28</v>
      </c>
      <c r="B1045" s="4">
        <v>1100000</v>
      </c>
      <c r="C1045" s="4">
        <v>4</v>
      </c>
      <c r="D1045" s="4">
        <v>0</v>
      </c>
      <c r="E1045" s="4">
        <v>1</v>
      </c>
      <c r="F1045" s="4">
        <v>0</v>
      </c>
      <c r="G1045" s="4">
        <v>0</v>
      </c>
      <c r="H1045" s="4">
        <v>0</v>
      </c>
      <c r="I1045" s="4" t="s">
        <v>1</v>
      </c>
      <c r="K10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0.25115503399094741</v>
      </c>
    </row>
    <row r="1046" spans="1:11" x14ac:dyDescent="0.3">
      <c r="A1046" s="4">
        <v>26</v>
      </c>
      <c r="B1046" s="4">
        <v>500000</v>
      </c>
      <c r="C1046" s="4">
        <v>6</v>
      </c>
      <c r="D1046" s="4">
        <v>0</v>
      </c>
      <c r="E1046" s="4">
        <v>1</v>
      </c>
      <c r="F1046" s="4">
        <v>0</v>
      </c>
      <c r="G1046" s="4">
        <v>0</v>
      </c>
      <c r="H1046" s="4">
        <v>0</v>
      </c>
      <c r="I1046" s="4" t="s">
        <v>1</v>
      </c>
      <c r="K10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7.4762159848901125E-2</v>
      </c>
    </row>
    <row r="1047" spans="1:11" x14ac:dyDescent="0.3">
      <c r="A1047" s="4">
        <v>35</v>
      </c>
      <c r="B1047" s="4">
        <v>900000</v>
      </c>
      <c r="C1047" s="4">
        <v>7</v>
      </c>
      <c r="D1047" s="4">
        <v>1</v>
      </c>
      <c r="E1047" s="4">
        <v>1</v>
      </c>
      <c r="F1047" s="4">
        <v>0</v>
      </c>
      <c r="G1047" s="4">
        <v>0</v>
      </c>
      <c r="H1047" s="4">
        <v>0</v>
      </c>
      <c r="I1047" s="4" t="s">
        <v>1</v>
      </c>
      <c r="K10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0.31629181970913162</v>
      </c>
    </row>
    <row r="1048" spans="1:11" x14ac:dyDescent="0.3">
      <c r="A1048" s="4">
        <v>31</v>
      </c>
      <c r="B1048" s="4">
        <v>1100000</v>
      </c>
      <c r="C1048" s="4">
        <v>4</v>
      </c>
      <c r="D1048" s="4">
        <v>0</v>
      </c>
      <c r="E1048" s="4">
        <v>1</v>
      </c>
      <c r="F1048" s="4">
        <v>0</v>
      </c>
      <c r="G1048" s="4">
        <v>0</v>
      </c>
      <c r="H1048" s="4">
        <v>0</v>
      </c>
      <c r="I1048" s="4" t="s">
        <v>1</v>
      </c>
      <c r="K10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0.29203374328234577</v>
      </c>
    </row>
    <row r="1049" spans="1:11" x14ac:dyDescent="0.3">
      <c r="A1049" s="4">
        <v>31</v>
      </c>
      <c r="B1049" s="4">
        <v>500000</v>
      </c>
      <c r="C1049" s="4">
        <v>5</v>
      </c>
      <c r="D1049" s="4">
        <v>0</v>
      </c>
      <c r="E1049" s="4">
        <v>1</v>
      </c>
      <c r="F1049" s="4">
        <v>0</v>
      </c>
      <c r="G1049" s="4">
        <v>0</v>
      </c>
      <c r="H1049" s="4">
        <v>0</v>
      </c>
      <c r="I1049" s="4" t="s">
        <v>1</v>
      </c>
      <c r="K10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0.12562764964114148</v>
      </c>
    </row>
    <row r="1050" spans="1:11" x14ac:dyDescent="0.3">
      <c r="A1050" s="4">
        <v>29</v>
      </c>
      <c r="B1050" s="4">
        <v>1200000</v>
      </c>
      <c r="C1050" s="4">
        <v>3</v>
      </c>
      <c r="D1050" s="4">
        <v>0</v>
      </c>
      <c r="E1050" s="4">
        <v>1</v>
      </c>
      <c r="F1050" s="4">
        <v>0</v>
      </c>
      <c r="G1050" s="4">
        <v>0</v>
      </c>
      <c r="H1050" s="4">
        <v>1</v>
      </c>
      <c r="I1050" s="4" t="s">
        <v>1</v>
      </c>
      <c r="K10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0.62851929362308212</v>
      </c>
    </row>
    <row r="1051" spans="1:11" x14ac:dyDescent="0.3">
      <c r="A1051" s="4">
        <v>31</v>
      </c>
      <c r="B1051" s="4">
        <v>300000</v>
      </c>
      <c r="C1051" s="4">
        <v>5</v>
      </c>
      <c r="D1051" s="4">
        <v>1</v>
      </c>
      <c r="E1051" s="4">
        <v>0</v>
      </c>
      <c r="F1051" s="4">
        <v>0</v>
      </c>
      <c r="G1051" s="4">
        <v>0</v>
      </c>
      <c r="H1051" s="4">
        <v>0</v>
      </c>
      <c r="I1051" s="4" t="s">
        <v>1</v>
      </c>
      <c r="K10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0.12442456275444685</v>
      </c>
    </row>
    <row r="1052" spans="1:11" x14ac:dyDescent="0.3">
      <c r="A1052" s="4">
        <v>34</v>
      </c>
      <c r="B1052" s="4">
        <v>1050000</v>
      </c>
      <c r="C1052" s="4">
        <v>4</v>
      </c>
      <c r="D1052" s="4">
        <v>0</v>
      </c>
      <c r="E1052" s="4">
        <v>1</v>
      </c>
      <c r="F1052" s="4">
        <v>1</v>
      </c>
      <c r="G1052" s="4">
        <v>0</v>
      </c>
      <c r="H1052" s="4">
        <v>0</v>
      </c>
      <c r="I1052" s="4" t="s">
        <v>1</v>
      </c>
      <c r="K10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0.33245347308158901</v>
      </c>
    </row>
    <row r="1053" spans="1:11" x14ac:dyDescent="0.3">
      <c r="A1053" s="4">
        <v>34</v>
      </c>
      <c r="B1053" s="4">
        <v>500000</v>
      </c>
      <c r="C1053" s="4">
        <v>6</v>
      </c>
      <c r="D1053" s="4">
        <v>0</v>
      </c>
      <c r="E1053" s="4">
        <v>1</v>
      </c>
      <c r="F1053" s="4">
        <v>0</v>
      </c>
      <c r="G1053" s="4">
        <v>0</v>
      </c>
      <c r="H1053" s="4">
        <v>0</v>
      </c>
      <c r="I1053" s="4" t="s">
        <v>1</v>
      </c>
      <c r="K10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0.18377205129263013</v>
      </c>
    </row>
    <row r="1054" spans="1:11" x14ac:dyDescent="0.3">
      <c r="A1054" s="4">
        <v>33</v>
      </c>
      <c r="B1054" s="4">
        <v>750000</v>
      </c>
      <c r="C1054" s="4">
        <v>8</v>
      </c>
      <c r="D1054" s="4">
        <v>0</v>
      </c>
      <c r="E1054" s="4">
        <v>1</v>
      </c>
      <c r="F1054" s="4">
        <v>1</v>
      </c>
      <c r="G1054" s="4">
        <v>0</v>
      </c>
      <c r="H1054" s="4">
        <v>0</v>
      </c>
      <c r="I1054" s="4" t="s">
        <v>1</v>
      </c>
      <c r="K10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0.29605411309083685</v>
      </c>
    </row>
    <row r="1055" spans="1:11" x14ac:dyDescent="0.3">
      <c r="A1055" s="4">
        <v>27</v>
      </c>
      <c r="B1055" s="4">
        <v>1050000</v>
      </c>
      <c r="C1055" s="4">
        <v>7</v>
      </c>
      <c r="D1055" s="4">
        <v>1</v>
      </c>
      <c r="E1055" s="4">
        <v>1</v>
      </c>
      <c r="F1055" s="4">
        <v>0</v>
      </c>
      <c r="G1055" s="4">
        <v>0</v>
      </c>
      <c r="H1055" s="4">
        <v>0</v>
      </c>
      <c r="I1055" s="4" t="s">
        <v>1</v>
      </c>
      <c r="K10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0.25319987476572614</v>
      </c>
    </row>
    <row r="1056" spans="1:11" x14ac:dyDescent="0.3">
      <c r="A1056" s="4">
        <v>29</v>
      </c>
      <c r="B1056" s="4">
        <v>1200000</v>
      </c>
      <c r="C1056" s="4">
        <v>8</v>
      </c>
      <c r="D1056" s="4">
        <v>0</v>
      </c>
      <c r="E1056" s="4">
        <v>1</v>
      </c>
      <c r="F1056" s="4">
        <v>0</v>
      </c>
      <c r="G1056" s="4">
        <v>1</v>
      </c>
      <c r="H1056" s="4">
        <v>0</v>
      </c>
      <c r="I1056" s="4" t="s">
        <v>1</v>
      </c>
      <c r="K10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0.45564292340505336</v>
      </c>
    </row>
    <row r="1057" spans="1:11" x14ac:dyDescent="0.3">
      <c r="A1057" s="4">
        <v>29</v>
      </c>
      <c r="B1057" s="4">
        <v>500000</v>
      </c>
      <c r="C1057" s="4">
        <v>2</v>
      </c>
      <c r="D1057" s="4">
        <v>0</v>
      </c>
      <c r="E1057" s="4">
        <v>1</v>
      </c>
      <c r="F1057" s="4">
        <v>0</v>
      </c>
      <c r="G1057" s="4">
        <v>0</v>
      </c>
      <c r="H1057" s="4">
        <v>0</v>
      </c>
      <c r="I1057" s="4" t="s">
        <v>1</v>
      </c>
      <c r="K10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4.6578099699938272E-2</v>
      </c>
    </row>
    <row r="1058" spans="1:11" x14ac:dyDescent="0.3">
      <c r="A1058" s="4">
        <v>26</v>
      </c>
      <c r="B1058" s="4">
        <v>600000</v>
      </c>
      <c r="C1058" s="4">
        <v>7</v>
      </c>
      <c r="D1058" s="4">
        <v>0</v>
      </c>
      <c r="E1058" s="4">
        <v>1</v>
      </c>
      <c r="F1058" s="4">
        <v>0</v>
      </c>
      <c r="G1058" s="4">
        <v>0</v>
      </c>
      <c r="H1058" s="4">
        <v>0</v>
      </c>
      <c r="I1058" s="4" t="s">
        <v>1</v>
      </c>
      <c r="K10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0.12263981654254051</v>
      </c>
    </row>
    <row r="1059" spans="1:11" x14ac:dyDescent="0.3">
      <c r="A1059" s="4">
        <v>28</v>
      </c>
      <c r="B1059" s="4">
        <v>800000</v>
      </c>
      <c r="C1059" s="4">
        <v>3</v>
      </c>
      <c r="D1059" s="4">
        <v>0</v>
      </c>
      <c r="E1059" s="4">
        <v>1</v>
      </c>
      <c r="F1059" s="4">
        <v>0</v>
      </c>
      <c r="G1059" s="4">
        <v>0</v>
      </c>
      <c r="H1059" s="4">
        <v>0</v>
      </c>
      <c r="I1059" s="4" t="s">
        <v>1</v>
      </c>
      <c r="K10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0.1420534486302098</v>
      </c>
    </row>
    <row r="1060" spans="1:11" x14ac:dyDescent="0.3">
      <c r="A1060" s="4">
        <v>28</v>
      </c>
      <c r="B1060" s="4">
        <v>800000</v>
      </c>
      <c r="C1060" s="4">
        <v>3</v>
      </c>
      <c r="D1060" s="4">
        <v>0</v>
      </c>
      <c r="E1060" s="4">
        <v>1</v>
      </c>
      <c r="F1060" s="4">
        <v>0</v>
      </c>
      <c r="G1060" s="4">
        <v>0</v>
      </c>
      <c r="H1060" s="4">
        <v>0</v>
      </c>
      <c r="I1060" s="4" t="s">
        <v>1</v>
      </c>
      <c r="K10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0.1420534486302098</v>
      </c>
    </row>
    <row r="1061" spans="1:11" x14ac:dyDescent="0.3">
      <c r="A1061" s="4">
        <v>35</v>
      </c>
      <c r="B1061" s="4">
        <v>950000</v>
      </c>
      <c r="C1061" s="4">
        <v>4</v>
      </c>
      <c r="D1061" s="4">
        <v>0</v>
      </c>
      <c r="E1061" s="4">
        <v>0</v>
      </c>
      <c r="F1061" s="4">
        <v>0</v>
      </c>
      <c r="G1061" s="4">
        <v>0</v>
      </c>
      <c r="H1061" s="4">
        <v>0</v>
      </c>
      <c r="I1061" s="4" t="s">
        <v>1</v>
      </c>
      <c r="K10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0.38146160199254175</v>
      </c>
    </row>
    <row r="1062" spans="1:11" x14ac:dyDescent="0.3">
      <c r="A1062" s="4">
        <v>28</v>
      </c>
      <c r="B1062" s="4">
        <v>550000</v>
      </c>
      <c r="C1062" s="4">
        <v>6</v>
      </c>
      <c r="D1062" s="4">
        <v>0</v>
      </c>
      <c r="E1062" s="4">
        <v>0</v>
      </c>
      <c r="F1062" s="4">
        <v>1</v>
      </c>
      <c r="G1062" s="4">
        <v>0</v>
      </c>
      <c r="H1062" s="4">
        <v>0</v>
      </c>
      <c r="I1062" s="4" t="s">
        <v>1</v>
      </c>
      <c r="K10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0.21300847703988238</v>
      </c>
    </row>
    <row r="1063" spans="1:11" x14ac:dyDescent="0.3">
      <c r="A1063" s="4">
        <v>34</v>
      </c>
      <c r="B1063" s="4">
        <v>850000</v>
      </c>
      <c r="C1063" s="4">
        <v>4</v>
      </c>
      <c r="D1063" s="4">
        <v>0</v>
      </c>
      <c r="E1063" s="4">
        <v>1</v>
      </c>
      <c r="F1063" s="4">
        <v>0</v>
      </c>
      <c r="G1063" s="4">
        <v>0</v>
      </c>
      <c r="H1063" s="4">
        <v>1</v>
      </c>
      <c r="I1063" s="4" t="s">
        <v>1</v>
      </c>
      <c r="K10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0.60677429296808127</v>
      </c>
    </row>
    <row r="1064" spans="1:11" x14ac:dyDescent="0.3">
      <c r="A1064" s="4">
        <v>31</v>
      </c>
      <c r="B1064" s="4">
        <v>400000</v>
      </c>
      <c r="C1064" s="4">
        <v>2</v>
      </c>
      <c r="D1064" s="4">
        <v>1</v>
      </c>
      <c r="E1064" s="4">
        <v>1</v>
      </c>
      <c r="F1064" s="4">
        <v>0</v>
      </c>
      <c r="G1064" s="4">
        <v>0</v>
      </c>
      <c r="H1064" s="4">
        <v>0</v>
      </c>
      <c r="I1064" s="4" t="s">
        <v>1</v>
      </c>
      <c r="K10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2.2398590519070061E-2</v>
      </c>
    </row>
    <row r="1065" spans="1:11" x14ac:dyDescent="0.3">
      <c r="A1065" s="4">
        <v>33</v>
      </c>
      <c r="B1065" s="4">
        <v>1500000</v>
      </c>
      <c r="C1065" s="4">
        <v>5</v>
      </c>
      <c r="D1065" s="4">
        <v>0</v>
      </c>
      <c r="E1065" s="4">
        <v>1</v>
      </c>
      <c r="F1065" s="4">
        <v>0</v>
      </c>
      <c r="G1065" s="4">
        <v>1</v>
      </c>
      <c r="H1065" s="4">
        <v>1</v>
      </c>
      <c r="I1065" s="4" t="s">
        <v>1</v>
      </c>
      <c r="K10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0.90057843627550416</v>
      </c>
    </row>
    <row r="1066" spans="1:11" x14ac:dyDescent="0.3">
      <c r="A1066" s="4">
        <v>28</v>
      </c>
      <c r="B1066" s="4">
        <v>1100000</v>
      </c>
      <c r="C1066" s="4">
        <v>4</v>
      </c>
      <c r="D1066" s="4">
        <v>0</v>
      </c>
      <c r="E1066" s="4">
        <v>1</v>
      </c>
      <c r="F1066" s="4">
        <v>0</v>
      </c>
      <c r="G1066" s="4">
        <v>1</v>
      </c>
      <c r="H1066" s="4">
        <v>0</v>
      </c>
      <c r="I1066" s="4" t="s">
        <v>1</v>
      </c>
      <c r="K10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0.34234195320067701</v>
      </c>
    </row>
    <row r="1067" spans="1:11" x14ac:dyDescent="0.3">
      <c r="A1067" s="4">
        <v>33</v>
      </c>
      <c r="B1067" s="4">
        <v>1100000</v>
      </c>
      <c r="C1067" s="4">
        <v>4</v>
      </c>
      <c r="D1067" s="4">
        <v>1</v>
      </c>
      <c r="E1067" s="4">
        <v>1</v>
      </c>
      <c r="F1067" s="4">
        <v>1</v>
      </c>
      <c r="G1067" s="4">
        <v>0</v>
      </c>
      <c r="H1067" s="4">
        <v>1</v>
      </c>
      <c r="I1067" s="4" t="s">
        <v>1</v>
      </c>
      <c r="K10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0.66370495233785598</v>
      </c>
    </row>
    <row r="1068" spans="1:11" x14ac:dyDescent="0.3">
      <c r="A1068" s="4">
        <v>28</v>
      </c>
      <c r="B1068" s="4">
        <v>700000</v>
      </c>
      <c r="C1068" s="4">
        <v>5</v>
      </c>
      <c r="D1068" s="4">
        <v>0</v>
      </c>
      <c r="E1068" s="4">
        <v>1</v>
      </c>
      <c r="F1068" s="4">
        <v>0</v>
      </c>
      <c r="G1068" s="4">
        <v>0</v>
      </c>
      <c r="H1068" s="4">
        <v>0</v>
      </c>
      <c r="I1068" s="4" t="s">
        <v>1</v>
      </c>
      <c r="K10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0.14597286901684126</v>
      </c>
    </row>
    <row r="1069" spans="1:11" x14ac:dyDescent="0.3">
      <c r="A1069" s="4">
        <v>28</v>
      </c>
      <c r="B1069" s="4">
        <v>300000</v>
      </c>
      <c r="C1069" s="4">
        <v>5</v>
      </c>
      <c r="D1069" s="4">
        <v>1</v>
      </c>
      <c r="E1069" s="4">
        <v>1</v>
      </c>
      <c r="F1069" s="4">
        <v>0</v>
      </c>
      <c r="G1069" s="4">
        <v>0</v>
      </c>
      <c r="H1069" s="4">
        <v>0</v>
      </c>
      <c r="I1069" s="4" t="s">
        <v>1</v>
      </c>
      <c r="K10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2.7049939743934159E-3</v>
      </c>
    </row>
    <row r="1070" spans="1:11" x14ac:dyDescent="0.3">
      <c r="A1070" s="4">
        <v>26</v>
      </c>
      <c r="B1070" s="4">
        <v>500000</v>
      </c>
      <c r="C1070" s="4">
        <v>5</v>
      </c>
      <c r="D1070" s="4">
        <v>1</v>
      </c>
      <c r="E1070" s="4">
        <v>1</v>
      </c>
      <c r="F1070" s="4">
        <v>1</v>
      </c>
      <c r="G1070" s="4">
        <v>0</v>
      </c>
      <c r="H1070" s="4">
        <v>0</v>
      </c>
      <c r="I1070" s="4" t="s">
        <v>1</v>
      </c>
      <c r="K10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5.1523452455178829E-2</v>
      </c>
    </row>
    <row r="1071" spans="1:11" x14ac:dyDescent="0.3">
      <c r="A1071" s="4">
        <v>33</v>
      </c>
      <c r="B1071" s="4">
        <v>600000</v>
      </c>
      <c r="C1071" s="4">
        <v>7</v>
      </c>
      <c r="D1071" s="4">
        <v>1</v>
      </c>
      <c r="E1071" s="4">
        <v>1</v>
      </c>
      <c r="F1071" s="4">
        <v>0</v>
      </c>
      <c r="G1071" s="4">
        <v>0</v>
      </c>
      <c r="H1071" s="4">
        <v>0</v>
      </c>
      <c r="I1071" s="4" t="s">
        <v>1</v>
      </c>
      <c r="K10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0.19720345384755195</v>
      </c>
    </row>
    <row r="1072" spans="1:11" x14ac:dyDescent="0.3">
      <c r="A1072" s="4">
        <v>30</v>
      </c>
      <c r="B1072" s="4">
        <v>1450000</v>
      </c>
      <c r="C1072" s="4">
        <v>4</v>
      </c>
      <c r="D1072" s="4">
        <v>0</v>
      </c>
      <c r="E1072" s="4">
        <v>0</v>
      </c>
      <c r="F1072" s="4">
        <v>1</v>
      </c>
      <c r="G1072" s="4">
        <v>1</v>
      </c>
      <c r="H1072" s="4">
        <v>1</v>
      </c>
      <c r="I1072" s="4" t="s">
        <v>1</v>
      </c>
      <c r="K10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0.92281591462051549</v>
      </c>
    </row>
    <row r="1073" spans="1:11" x14ac:dyDescent="0.3">
      <c r="A1073" s="4">
        <v>34</v>
      </c>
      <c r="B1073" s="4">
        <v>850000</v>
      </c>
      <c r="C1073" s="4">
        <v>5</v>
      </c>
      <c r="D1073" s="4">
        <v>0</v>
      </c>
      <c r="E1073" s="4">
        <v>1</v>
      </c>
      <c r="F1073" s="4">
        <v>1</v>
      </c>
      <c r="G1073" s="4">
        <v>0</v>
      </c>
      <c r="H1073" s="4">
        <v>0</v>
      </c>
      <c r="I1073" s="4" t="s">
        <v>1</v>
      </c>
      <c r="K10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0.28849523677458111</v>
      </c>
    </row>
    <row r="1074" spans="1:11" x14ac:dyDescent="0.3">
      <c r="A1074" s="4">
        <v>29</v>
      </c>
      <c r="B1074" s="4">
        <v>900000</v>
      </c>
      <c r="C1074" s="4">
        <v>3</v>
      </c>
      <c r="D1074" s="4">
        <v>0</v>
      </c>
      <c r="E1074" s="4">
        <v>1</v>
      </c>
      <c r="F1074" s="4">
        <v>0</v>
      </c>
      <c r="G1074" s="4">
        <v>0</v>
      </c>
      <c r="H1074" s="4">
        <v>0</v>
      </c>
      <c r="I1074" s="4" t="s">
        <v>1</v>
      </c>
      <c r="K10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0.18629164939422499</v>
      </c>
    </row>
    <row r="1075" spans="1:11" x14ac:dyDescent="0.3">
      <c r="A1075" s="4">
        <v>25</v>
      </c>
      <c r="B1075" s="4">
        <v>1150000</v>
      </c>
      <c r="C1075" s="4">
        <v>7</v>
      </c>
      <c r="D1075" s="4">
        <v>0</v>
      </c>
      <c r="E1075" s="4">
        <v>0</v>
      </c>
      <c r="F1075" s="4">
        <v>0</v>
      </c>
      <c r="G1075" s="4">
        <v>0</v>
      </c>
      <c r="H1075" s="4">
        <v>0</v>
      </c>
      <c r="I1075" s="4" t="s">
        <v>1</v>
      </c>
      <c r="K10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0.35822024343524944</v>
      </c>
    </row>
    <row r="1076" spans="1:11" x14ac:dyDescent="0.3">
      <c r="A1076" s="4">
        <v>26</v>
      </c>
      <c r="B1076" s="4">
        <v>500000</v>
      </c>
      <c r="C1076" s="4">
        <v>6</v>
      </c>
      <c r="D1076" s="4">
        <v>1</v>
      </c>
      <c r="E1076" s="4">
        <v>1</v>
      </c>
      <c r="F1076" s="4">
        <v>0</v>
      </c>
      <c r="G1076" s="4">
        <v>0</v>
      </c>
      <c r="H1076" s="4">
        <v>0</v>
      </c>
      <c r="I1076" s="4" t="s">
        <v>1</v>
      </c>
      <c r="K10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5.3942142140649699E-2</v>
      </c>
    </row>
    <row r="1077" spans="1:11" x14ac:dyDescent="0.3">
      <c r="A1077" s="4">
        <v>25</v>
      </c>
      <c r="B1077" s="4">
        <v>750000</v>
      </c>
      <c r="C1077" s="4">
        <v>2</v>
      </c>
      <c r="D1077" s="4">
        <v>1</v>
      </c>
      <c r="E1077" s="4">
        <v>1</v>
      </c>
      <c r="F1077" s="4">
        <v>0</v>
      </c>
      <c r="G1077" s="4">
        <v>1</v>
      </c>
      <c r="H1077" s="4">
        <v>0</v>
      </c>
      <c r="I1077" s="4" t="s">
        <v>1</v>
      </c>
      <c r="K10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0.13896996631342468</v>
      </c>
    </row>
    <row r="1078" spans="1:11" x14ac:dyDescent="0.3">
      <c r="A1078" s="4">
        <v>34</v>
      </c>
      <c r="B1078" s="4">
        <v>1500000</v>
      </c>
      <c r="C1078" s="4">
        <v>3</v>
      </c>
      <c r="D1078" s="4">
        <v>0</v>
      </c>
      <c r="E1078" s="4">
        <v>1</v>
      </c>
      <c r="F1078" s="4">
        <v>0</v>
      </c>
      <c r="G1078" s="4">
        <v>1</v>
      </c>
      <c r="H1078" s="4">
        <v>1</v>
      </c>
      <c r="I1078" s="4" t="s">
        <v>1</v>
      </c>
      <c r="K10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0.8796732879857897</v>
      </c>
    </row>
    <row r="1079" spans="1:11" x14ac:dyDescent="0.3">
      <c r="A1079" s="4">
        <v>30</v>
      </c>
      <c r="B1079" s="4">
        <v>500000</v>
      </c>
      <c r="C1079" s="4">
        <v>7</v>
      </c>
      <c r="D1079" s="4">
        <v>0</v>
      </c>
      <c r="E1079" s="4">
        <v>0</v>
      </c>
      <c r="F1079" s="4">
        <v>1</v>
      </c>
      <c r="G1079" s="4">
        <v>0</v>
      </c>
      <c r="H1079" s="4">
        <v>0</v>
      </c>
      <c r="I1079" s="4" t="s">
        <v>1</v>
      </c>
      <c r="K10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0.24222066009413043</v>
      </c>
    </row>
    <row r="1080" spans="1:11" x14ac:dyDescent="0.3">
      <c r="A1080" s="4">
        <v>28</v>
      </c>
      <c r="B1080" s="4">
        <v>1300000</v>
      </c>
      <c r="C1080" s="4">
        <v>5</v>
      </c>
      <c r="D1080" s="4">
        <v>0</v>
      </c>
      <c r="E1080" s="4">
        <v>1</v>
      </c>
      <c r="F1080" s="4">
        <v>1</v>
      </c>
      <c r="G1080" s="4">
        <v>1</v>
      </c>
      <c r="H1080" s="4">
        <v>0</v>
      </c>
      <c r="I1080" s="4" t="s">
        <v>1</v>
      </c>
      <c r="K10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0.43567857690248496</v>
      </c>
    </row>
    <row r="1081" spans="1:11" x14ac:dyDescent="0.3">
      <c r="A1081" s="4">
        <v>29</v>
      </c>
      <c r="B1081" s="4">
        <v>1050000</v>
      </c>
      <c r="C1081" s="4">
        <v>3</v>
      </c>
      <c r="D1081" s="4">
        <v>0</v>
      </c>
      <c r="E1081" s="4">
        <v>1</v>
      </c>
      <c r="F1081" s="4">
        <v>0</v>
      </c>
      <c r="G1081" s="4">
        <v>0</v>
      </c>
      <c r="H1081" s="4">
        <v>0</v>
      </c>
      <c r="I1081" s="4" t="s">
        <v>1</v>
      </c>
      <c r="K10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0.23220959589454859</v>
      </c>
    </row>
    <row r="1082" spans="1:11" x14ac:dyDescent="0.3">
      <c r="A1082" s="4">
        <v>32</v>
      </c>
      <c r="B1082" s="4">
        <v>900000</v>
      </c>
      <c r="C1082" s="4">
        <v>5</v>
      </c>
      <c r="D1082" s="4">
        <v>1</v>
      </c>
      <c r="E1082" s="4">
        <v>1</v>
      </c>
      <c r="F1082" s="4">
        <v>0</v>
      </c>
      <c r="G1082" s="4">
        <v>1</v>
      </c>
      <c r="H1082" s="4">
        <v>0</v>
      </c>
      <c r="I1082" s="4" t="s">
        <v>1</v>
      </c>
      <c r="K10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0.33206864490728216</v>
      </c>
    </row>
    <row r="1083" spans="1:11" x14ac:dyDescent="0.3">
      <c r="A1083" s="4">
        <v>34</v>
      </c>
      <c r="B1083" s="4">
        <v>1300000</v>
      </c>
      <c r="C1083" s="4">
        <v>6</v>
      </c>
      <c r="D1083" s="4">
        <v>0</v>
      </c>
      <c r="E1083" s="4">
        <v>1</v>
      </c>
      <c r="F1083" s="4">
        <v>1</v>
      </c>
      <c r="G1083" s="4">
        <v>0</v>
      </c>
      <c r="H1083" s="4">
        <v>0</v>
      </c>
      <c r="I1083" s="4" t="s">
        <v>1</v>
      </c>
      <c r="K10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0.44351476863564243</v>
      </c>
    </row>
    <row r="1084" spans="1:11" x14ac:dyDescent="0.3">
      <c r="A1084" s="4">
        <v>26</v>
      </c>
      <c r="B1084" s="4">
        <v>550000</v>
      </c>
      <c r="C1084" s="4">
        <v>4</v>
      </c>
      <c r="D1084" s="4">
        <v>1</v>
      </c>
      <c r="E1084" s="4">
        <v>1</v>
      </c>
      <c r="F1084" s="4">
        <v>0</v>
      </c>
      <c r="G1084" s="4">
        <v>0</v>
      </c>
      <c r="H1084" s="4">
        <v>0</v>
      </c>
      <c r="I1084" s="4" t="s">
        <v>1</v>
      </c>
      <c r="K10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3.4716739587243653E-2</v>
      </c>
    </row>
    <row r="1085" spans="1:11" x14ac:dyDescent="0.3">
      <c r="A1085" s="4">
        <v>35</v>
      </c>
      <c r="B1085" s="4">
        <v>800000</v>
      </c>
      <c r="C1085" s="4">
        <v>4</v>
      </c>
      <c r="D1085" s="4">
        <v>0</v>
      </c>
      <c r="E1085" s="4">
        <v>0</v>
      </c>
      <c r="F1085" s="4">
        <v>0</v>
      </c>
      <c r="G1085" s="4">
        <v>0</v>
      </c>
      <c r="H1085" s="4">
        <v>0</v>
      </c>
      <c r="I1085" s="4" t="s">
        <v>1</v>
      </c>
      <c r="K10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0.3355436554922181</v>
      </c>
    </row>
    <row r="1086" spans="1:11" x14ac:dyDescent="0.3">
      <c r="A1086" s="4">
        <v>28</v>
      </c>
      <c r="B1086" s="4">
        <v>650000</v>
      </c>
      <c r="C1086" s="4">
        <v>3</v>
      </c>
      <c r="D1086" s="4">
        <v>0</v>
      </c>
      <c r="E1086" s="4">
        <v>1</v>
      </c>
      <c r="F1086" s="4">
        <v>0</v>
      </c>
      <c r="G1086" s="4">
        <v>0</v>
      </c>
      <c r="H1086" s="4">
        <v>0</v>
      </c>
      <c r="I1086" s="4" t="s">
        <v>1</v>
      </c>
      <c r="K10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9.6135502129886127E-2</v>
      </c>
    </row>
    <row r="1087" spans="1:11" x14ac:dyDescent="0.3">
      <c r="A1087" s="4">
        <v>29</v>
      </c>
      <c r="B1087" s="4">
        <v>1050000</v>
      </c>
      <c r="C1087" s="4">
        <v>5</v>
      </c>
      <c r="D1087" s="4">
        <v>0</v>
      </c>
      <c r="E1087" s="4">
        <v>1</v>
      </c>
      <c r="F1087" s="4">
        <v>0</v>
      </c>
      <c r="G1087" s="4">
        <v>0</v>
      </c>
      <c r="H1087" s="4">
        <v>0</v>
      </c>
      <c r="I1087" s="4" t="s">
        <v>1</v>
      </c>
      <c r="K10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0.26674098061472917</v>
      </c>
    </row>
    <row r="1088" spans="1:11" x14ac:dyDescent="0.3">
      <c r="A1088" s="4">
        <v>34</v>
      </c>
      <c r="B1088" s="4">
        <v>1050000</v>
      </c>
      <c r="C1088" s="4">
        <v>4</v>
      </c>
      <c r="D1088" s="4">
        <v>0</v>
      </c>
      <c r="E1088" s="4">
        <v>1</v>
      </c>
      <c r="F1088" s="4">
        <v>1</v>
      </c>
      <c r="G1088" s="4">
        <v>0</v>
      </c>
      <c r="H1088" s="4">
        <v>0</v>
      </c>
      <c r="I1088" s="4" t="s">
        <v>1</v>
      </c>
      <c r="K10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0.33245347308158901</v>
      </c>
    </row>
    <row r="1089" spans="1:11" x14ac:dyDescent="0.3">
      <c r="A1089" s="4">
        <v>26</v>
      </c>
      <c r="B1089" s="4">
        <v>1400000</v>
      </c>
      <c r="C1089" s="4">
        <v>4</v>
      </c>
      <c r="D1089" s="4">
        <v>0</v>
      </c>
      <c r="E1089" s="4">
        <v>1</v>
      </c>
      <c r="F1089" s="4">
        <v>0</v>
      </c>
      <c r="G1089" s="4">
        <v>0</v>
      </c>
      <c r="H1089" s="4">
        <v>1</v>
      </c>
      <c r="I1089" s="4" t="s">
        <v>1</v>
      </c>
      <c r="K10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0.66613020535887235</v>
      </c>
    </row>
    <row r="1090" spans="1:11" x14ac:dyDescent="0.3">
      <c r="A1090" s="4">
        <v>28</v>
      </c>
      <c r="B1090" s="4">
        <v>1150000</v>
      </c>
      <c r="C1090" s="4">
        <v>8</v>
      </c>
      <c r="D1090" s="4">
        <v>0</v>
      </c>
      <c r="E1090" s="4">
        <v>1</v>
      </c>
      <c r="F1090" s="4">
        <v>0</v>
      </c>
      <c r="G1090" s="4">
        <v>1</v>
      </c>
      <c r="H1090" s="4">
        <v>0</v>
      </c>
      <c r="I1090" s="4" t="s">
        <v>1</v>
      </c>
      <c r="K10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0.4267107048078127</v>
      </c>
    </row>
    <row r="1091" spans="1:11" x14ac:dyDescent="0.3">
      <c r="A1091" s="4">
        <v>28</v>
      </c>
      <c r="B1091" s="4">
        <v>500000</v>
      </c>
      <c r="C1091" s="4">
        <v>4</v>
      </c>
      <c r="D1091" s="4">
        <v>0</v>
      </c>
      <c r="E1091" s="4">
        <v>1</v>
      </c>
      <c r="F1091" s="4">
        <v>0</v>
      </c>
      <c r="G1091" s="4">
        <v>0</v>
      </c>
      <c r="H1091" s="4">
        <v>0</v>
      </c>
      <c r="I1091" s="4" t="s">
        <v>1</v>
      </c>
      <c r="K10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6.7483247989652759E-2</v>
      </c>
    </row>
    <row r="1092" spans="1:11" x14ac:dyDescent="0.3">
      <c r="A1092" s="4">
        <v>32</v>
      </c>
      <c r="B1092" s="4">
        <v>350000</v>
      </c>
      <c r="C1092" s="4">
        <v>5</v>
      </c>
      <c r="D1092" s="4">
        <v>1</v>
      </c>
      <c r="E1092" s="4">
        <v>1</v>
      </c>
      <c r="F1092" s="4">
        <v>0</v>
      </c>
      <c r="G1092" s="4">
        <v>0</v>
      </c>
      <c r="H1092" s="4">
        <v>0</v>
      </c>
      <c r="I1092" s="4" t="s">
        <v>1</v>
      </c>
      <c r="K10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7.2515921863032531E-2</v>
      </c>
    </row>
    <row r="1093" spans="1:11" x14ac:dyDescent="0.3">
      <c r="A1093" s="4">
        <v>33</v>
      </c>
      <c r="B1093" s="4">
        <v>1100000</v>
      </c>
      <c r="C1093" s="4">
        <v>8</v>
      </c>
      <c r="D1093" s="4">
        <v>1</v>
      </c>
      <c r="E1093" s="4">
        <v>1</v>
      </c>
      <c r="F1093" s="4">
        <v>0</v>
      </c>
      <c r="G1093" s="4">
        <v>0</v>
      </c>
      <c r="H1093" s="4">
        <v>0</v>
      </c>
      <c r="I1093" s="4" t="s">
        <v>1</v>
      </c>
      <c r="K10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0.3675289678753878</v>
      </c>
    </row>
    <row r="1094" spans="1:11" x14ac:dyDescent="0.3">
      <c r="A1094" s="4">
        <v>29</v>
      </c>
      <c r="B1094" s="4">
        <v>1200000</v>
      </c>
      <c r="C1094" s="4">
        <v>4</v>
      </c>
      <c r="D1094" s="4">
        <v>0</v>
      </c>
      <c r="E1094" s="4">
        <v>1</v>
      </c>
      <c r="F1094" s="4">
        <v>0</v>
      </c>
      <c r="G1094" s="4">
        <v>0</v>
      </c>
      <c r="H1094" s="4">
        <v>0</v>
      </c>
      <c r="I1094" s="4" t="s">
        <v>1</v>
      </c>
      <c r="K10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1095" spans="1:11" x14ac:dyDescent="0.3">
      <c r="A1095" s="4">
        <v>34</v>
      </c>
      <c r="B1095" s="4">
        <v>700000</v>
      </c>
      <c r="C1095" s="4">
        <v>4</v>
      </c>
      <c r="D1095" s="4">
        <v>0</v>
      </c>
      <c r="E1095" s="4">
        <v>1</v>
      </c>
      <c r="F1095" s="4">
        <v>1</v>
      </c>
      <c r="G1095" s="4">
        <v>1</v>
      </c>
      <c r="H1095" s="4">
        <v>0</v>
      </c>
      <c r="I1095" s="4" t="s">
        <v>1</v>
      </c>
      <c r="K10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0.31649851712389676</v>
      </c>
    </row>
    <row r="1096" spans="1:11" x14ac:dyDescent="0.3">
      <c r="A1096" s="4">
        <v>28</v>
      </c>
      <c r="B1096" s="4">
        <v>750000</v>
      </c>
      <c r="C1096" s="4">
        <v>4</v>
      </c>
      <c r="D1096" s="4">
        <v>0</v>
      </c>
      <c r="E1096" s="4">
        <v>1</v>
      </c>
      <c r="F1096" s="4">
        <v>0</v>
      </c>
      <c r="G1096" s="4">
        <v>1</v>
      </c>
      <c r="H1096" s="4">
        <v>0</v>
      </c>
      <c r="I1096" s="4" t="s">
        <v>1</v>
      </c>
      <c r="K10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0.2352000780332551</v>
      </c>
    </row>
    <row r="1097" spans="1:11" x14ac:dyDescent="0.3">
      <c r="A1097" s="4">
        <v>25</v>
      </c>
      <c r="B1097" s="4">
        <v>1700000</v>
      </c>
      <c r="C1097" s="4">
        <v>6</v>
      </c>
      <c r="D1097" s="4">
        <v>0</v>
      </c>
      <c r="E1097" s="4">
        <v>0</v>
      </c>
      <c r="F1097" s="4">
        <v>0</v>
      </c>
      <c r="G1097" s="4">
        <v>1</v>
      </c>
      <c r="H1097" s="4">
        <v>0</v>
      </c>
      <c r="I1097" s="4" t="s">
        <v>1</v>
      </c>
      <c r="K10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0.60050727411940874</v>
      </c>
    </row>
    <row r="1098" spans="1:11" x14ac:dyDescent="0.3">
      <c r="A1098" s="4">
        <v>31</v>
      </c>
      <c r="B1098" s="4">
        <v>950000</v>
      </c>
      <c r="C1098" s="4">
        <v>3</v>
      </c>
      <c r="D1098" s="4">
        <v>0</v>
      </c>
      <c r="E1098" s="4">
        <v>1</v>
      </c>
      <c r="F1098" s="4">
        <v>0</v>
      </c>
      <c r="G1098" s="4">
        <v>1</v>
      </c>
      <c r="H1098" s="4">
        <v>0</v>
      </c>
      <c r="I1098" s="4" t="s">
        <v>1</v>
      </c>
      <c r="K10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0.32003702363166142</v>
      </c>
    </row>
    <row r="1099" spans="1:11" x14ac:dyDescent="0.3">
      <c r="A1099" s="4">
        <v>29</v>
      </c>
      <c r="B1099" s="4">
        <v>600000</v>
      </c>
      <c r="C1099" s="4">
        <v>5</v>
      </c>
      <c r="D1099" s="4">
        <v>0</v>
      </c>
      <c r="E1099" s="4">
        <v>1</v>
      </c>
      <c r="F1099" s="4">
        <v>1</v>
      </c>
      <c r="G1099" s="4">
        <v>0</v>
      </c>
      <c r="H1099" s="4">
        <v>0</v>
      </c>
      <c r="I1099" s="4" t="s">
        <v>1</v>
      </c>
      <c r="K10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0.14383414378837769</v>
      </c>
    </row>
    <row r="1100" spans="1:11" x14ac:dyDescent="0.3">
      <c r="A1100" s="4">
        <v>34</v>
      </c>
      <c r="B1100" s="4">
        <v>850000</v>
      </c>
      <c r="C1100" s="4">
        <v>4</v>
      </c>
      <c r="D1100" s="4">
        <v>0</v>
      </c>
      <c r="E1100" s="4">
        <v>1</v>
      </c>
      <c r="F1100" s="4">
        <v>0</v>
      </c>
      <c r="G1100" s="4">
        <v>0</v>
      </c>
      <c r="H1100" s="4">
        <v>0</v>
      </c>
      <c r="I1100" s="4" t="s">
        <v>1</v>
      </c>
      <c r="K11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0.25638254173987141</v>
      </c>
    </row>
    <row r="1101" spans="1:11" x14ac:dyDescent="0.3">
      <c r="A1101" s="4">
        <v>29</v>
      </c>
      <c r="B1101" s="4">
        <v>1200000</v>
      </c>
      <c r="C1101" s="4">
        <v>9</v>
      </c>
      <c r="D1101" s="4">
        <v>0</v>
      </c>
      <c r="E1101" s="4">
        <v>1</v>
      </c>
      <c r="F1101" s="4">
        <v>0</v>
      </c>
      <c r="G1101" s="4">
        <v>0</v>
      </c>
      <c r="H1101" s="4">
        <v>0</v>
      </c>
      <c r="I1101" s="4" t="s">
        <v>1</v>
      </c>
      <c r="K11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0.38172169655541405</v>
      </c>
    </row>
    <row r="1102" spans="1:11" x14ac:dyDescent="0.3">
      <c r="A1102" s="4">
        <v>34</v>
      </c>
      <c r="B1102" s="4">
        <v>700000</v>
      </c>
      <c r="C1102" s="4">
        <v>4</v>
      </c>
      <c r="D1102" s="4">
        <v>0</v>
      </c>
      <c r="E1102" s="4">
        <v>1</v>
      </c>
      <c r="F1102" s="4">
        <v>0</v>
      </c>
      <c r="G1102" s="4">
        <v>0</v>
      </c>
      <c r="H1102" s="4">
        <v>0</v>
      </c>
      <c r="I1102" s="4" t="s">
        <v>1</v>
      </c>
      <c r="K11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0.21046459523954775</v>
      </c>
    </row>
    <row r="1103" spans="1:11" x14ac:dyDescent="0.3">
      <c r="A1103" s="4">
        <v>25</v>
      </c>
      <c r="B1103" s="4">
        <v>1150000</v>
      </c>
      <c r="C1103" s="4">
        <v>2</v>
      </c>
      <c r="D1103" s="4">
        <v>0</v>
      </c>
      <c r="E1103" s="4">
        <v>0</v>
      </c>
      <c r="F1103" s="4">
        <v>0</v>
      </c>
      <c r="G1103" s="4">
        <v>0</v>
      </c>
      <c r="H1103" s="4">
        <v>1</v>
      </c>
      <c r="I1103" s="4" t="s">
        <v>1</v>
      </c>
      <c r="K11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0.62228353286300786</v>
      </c>
    </row>
    <row r="1104" spans="1:11" x14ac:dyDescent="0.3">
      <c r="A1104" s="4">
        <v>31</v>
      </c>
      <c r="B1104" s="4">
        <v>950000</v>
      </c>
      <c r="C1104" s="4">
        <v>4</v>
      </c>
      <c r="D1104" s="4">
        <v>0</v>
      </c>
      <c r="E1104" s="4">
        <v>1</v>
      </c>
      <c r="F1104" s="4">
        <v>0</v>
      </c>
      <c r="G1104" s="4">
        <v>0</v>
      </c>
      <c r="H1104" s="4">
        <v>0</v>
      </c>
      <c r="I1104" s="4" t="s">
        <v>1</v>
      </c>
      <c r="K11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0.24611579678202211</v>
      </c>
    </row>
    <row r="1105" spans="1:11" x14ac:dyDescent="0.3">
      <c r="A1105" s="4">
        <v>34</v>
      </c>
      <c r="B1105" s="4">
        <v>500000</v>
      </c>
      <c r="C1105" s="4">
        <v>5</v>
      </c>
      <c r="D1105" s="4">
        <v>0</v>
      </c>
      <c r="E1105" s="4">
        <v>1</v>
      </c>
      <c r="F1105" s="4">
        <v>0</v>
      </c>
      <c r="G1105" s="4">
        <v>0</v>
      </c>
      <c r="H1105" s="4">
        <v>0</v>
      </c>
      <c r="I1105" s="4" t="s">
        <v>1</v>
      </c>
      <c r="K11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0.16650635893253984</v>
      </c>
    </row>
    <row r="1106" spans="1:11" x14ac:dyDescent="0.3">
      <c r="A1106" s="4">
        <v>26</v>
      </c>
      <c r="B1106" s="4">
        <v>1750000</v>
      </c>
      <c r="C1106" s="4">
        <v>3</v>
      </c>
      <c r="D1106" s="4">
        <v>0</v>
      </c>
      <c r="E1106" s="4">
        <v>1</v>
      </c>
      <c r="F1106" s="4">
        <v>0</v>
      </c>
      <c r="G1106" s="4">
        <v>0</v>
      </c>
      <c r="H1106" s="4">
        <v>0</v>
      </c>
      <c r="I1106" s="4" t="s">
        <v>1</v>
      </c>
      <c r="K11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0.40561463693799399</v>
      </c>
    </row>
    <row r="1107" spans="1:11" x14ac:dyDescent="0.3">
      <c r="A1107" s="4">
        <v>28</v>
      </c>
      <c r="B1107" s="4">
        <v>1150000</v>
      </c>
      <c r="C1107" s="4">
        <v>3</v>
      </c>
      <c r="D1107" s="4">
        <v>0</v>
      </c>
      <c r="E1107" s="4">
        <v>1</v>
      </c>
      <c r="F1107" s="4">
        <v>1</v>
      </c>
      <c r="G1107" s="4">
        <v>0</v>
      </c>
      <c r="H1107" s="4">
        <v>0</v>
      </c>
      <c r="I1107" s="4" t="s">
        <v>1</v>
      </c>
      <c r="K11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0.26404232647225107</v>
      </c>
    </row>
    <row r="1108" spans="1:11" x14ac:dyDescent="0.3">
      <c r="A1108" s="4">
        <v>28</v>
      </c>
      <c r="B1108" s="4">
        <v>1150000</v>
      </c>
      <c r="C1108" s="4">
        <v>4</v>
      </c>
      <c r="D1108" s="4">
        <v>0</v>
      </c>
      <c r="E1108" s="4">
        <v>1</v>
      </c>
      <c r="F1108" s="4">
        <v>0</v>
      </c>
      <c r="G1108" s="4">
        <v>0</v>
      </c>
      <c r="H1108" s="4">
        <v>0</v>
      </c>
      <c r="I1108" s="4" t="s">
        <v>1</v>
      </c>
      <c r="K11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0.26646101615772189</v>
      </c>
    </row>
    <row r="1109" spans="1:11" x14ac:dyDescent="0.3">
      <c r="A1109" s="4">
        <v>28</v>
      </c>
      <c r="B1109" s="4">
        <v>1200000</v>
      </c>
      <c r="C1109" s="4">
        <v>5</v>
      </c>
      <c r="D1109" s="4">
        <v>0</v>
      </c>
      <c r="E1109" s="4">
        <v>1</v>
      </c>
      <c r="F1109" s="4">
        <v>0</v>
      </c>
      <c r="G1109" s="4">
        <v>0</v>
      </c>
      <c r="H1109" s="4">
        <v>0</v>
      </c>
      <c r="I1109" s="4" t="s">
        <v>1</v>
      </c>
      <c r="K11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0.29903269068458671</v>
      </c>
    </row>
    <row r="1110" spans="1:11" x14ac:dyDescent="0.3">
      <c r="A1110" s="4">
        <v>34</v>
      </c>
      <c r="B1110" s="4">
        <v>1500000</v>
      </c>
      <c r="C1110" s="4">
        <v>3</v>
      </c>
      <c r="D1110" s="4">
        <v>0</v>
      </c>
      <c r="E1110" s="4">
        <v>1</v>
      </c>
      <c r="F1110" s="4">
        <v>0</v>
      </c>
      <c r="G1110" s="4">
        <v>1</v>
      </c>
      <c r="H1110" s="4">
        <v>1</v>
      </c>
      <c r="I1110" s="4" t="s">
        <v>1</v>
      </c>
      <c r="K11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0.8796732879857897</v>
      </c>
    </row>
    <row r="1111" spans="1:11" x14ac:dyDescent="0.3">
      <c r="A1111" s="4">
        <v>34</v>
      </c>
      <c r="B1111" s="4">
        <v>1500000</v>
      </c>
      <c r="C1111" s="4">
        <v>3</v>
      </c>
      <c r="D1111" s="4">
        <v>0</v>
      </c>
      <c r="E1111" s="4">
        <v>1</v>
      </c>
      <c r="F1111" s="4">
        <v>0</v>
      </c>
      <c r="G1111" s="4">
        <v>1</v>
      </c>
      <c r="H1111" s="4">
        <v>1</v>
      </c>
      <c r="I1111" s="4" t="s">
        <v>1</v>
      </c>
      <c r="K11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0.8796732879857897</v>
      </c>
    </row>
    <row r="1112" spans="1:11" x14ac:dyDescent="0.3">
      <c r="A1112" s="4">
        <v>28</v>
      </c>
      <c r="B1112" s="4">
        <v>1450000</v>
      </c>
      <c r="C1112" s="4">
        <v>5</v>
      </c>
      <c r="D1112" s="4">
        <v>0</v>
      </c>
      <c r="E1112" s="4">
        <v>1</v>
      </c>
      <c r="F1112" s="4">
        <v>0</v>
      </c>
      <c r="G1112" s="4">
        <v>1</v>
      </c>
      <c r="H1112" s="4">
        <v>1</v>
      </c>
      <c r="I1112" s="4" t="s">
        <v>1</v>
      </c>
      <c r="K11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0.81714127195639907</v>
      </c>
    </row>
    <row r="1113" spans="1:11" x14ac:dyDescent="0.3">
      <c r="A1113" s="4">
        <v>27</v>
      </c>
      <c r="B1113" s="4">
        <v>850000</v>
      </c>
      <c r="C1113" s="4">
        <v>4</v>
      </c>
      <c r="D1113" s="4">
        <v>1</v>
      </c>
      <c r="E1113" s="4">
        <v>1</v>
      </c>
      <c r="F1113" s="4">
        <v>0</v>
      </c>
      <c r="G1113" s="4">
        <v>0</v>
      </c>
      <c r="H1113" s="4">
        <v>0</v>
      </c>
      <c r="I1113" s="4" t="s">
        <v>1</v>
      </c>
      <c r="K11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0.14017886901835708</v>
      </c>
    </row>
    <row r="1114" spans="1:11" x14ac:dyDescent="0.3">
      <c r="A1114" s="4">
        <v>28</v>
      </c>
      <c r="B1114" s="4">
        <v>1200000</v>
      </c>
      <c r="C1114" s="4">
        <v>3</v>
      </c>
      <c r="D1114" s="4">
        <v>0</v>
      </c>
      <c r="E1114" s="4">
        <v>1</v>
      </c>
      <c r="F1114" s="4">
        <v>0</v>
      </c>
      <c r="G1114" s="4">
        <v>0</v>
      </c>
      <c r="H1114" s="4">
        <v>0</v>
      </c>
      <c r="I1114" s="4" t="s">
        <v>1</v>
      </c>
      <c r="K11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0.26450130596440613</v>
      </c>
    </row>
    <row r="1115" spans="1:11" x14ac:dyDescent="0.3">
      <c r="A1115" s="4">
        <v>28</v>
      </c>
      <c r="B1115" s="4">
        <v>800000</v>
      </c>
      <c r="C1115" s="4">
        <v>3</v>
      </c>
      <c r="D1115" s="4">
        <v>0</v>
      </c>
      <c r="E1115" s="4">
        <v>1</v>
      </c>
      <c r="F1115" s="4">
        <v>1</v>
      </c>
      <c r="G1115" s="4">
        <v>0</v>
      </c>
      <c r="H1115" s="4">
        <v>0</v>
      </c>
      <c r="I1115" s="4" t="s">
        <v>1</v>
      </c>
      <c r="K11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0.15690045130482924</v>
      </c>
    </row>
    <row r="1116" spans="1:11" x14ac:dyDescent="0.3">
      <c r="A1116" s="4">
        <v>25</v>
      </c>
      <c r="B1116" s="4">
        <v>1700000</v>
      </c>
      <c r="C1116" s="4">
        <v>3</v>
      </c>
      <c r="D1116" s="4">
        <v>0</v>
      </c>
      <c r="E1116" s="4">
        <v>1</v>
      </c>
      <c r="F1116" s="4">
        <v>0</v>
      </c>
      <c r="G1116" s="4">
        <v>1</v>
      </c>
      <c r="H1116" s="4">
        <v>0</v>
      </c>
      <c r="I1116" s="4" t="s">
        <v>1</v>
      </c>
      <c r="K11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0.46786933755048282</v>
      </c>
    </row>
    <row r="1117" spans="1:11" x14ac:dyDescent="0.3">
      <c r="A1117" s="4">
        <v>26</v>
      </c>
      <c r="B1117" s="4">
        <v>1450000</v>
      </c>
      <c r="C1117" s="4">
        <v>3</v>
      </c>
      <c r="D1117" s="4">
        <v>1</v>
      </c>
      <c r="E1117" s="4">
        <v>1</v>
      </c>
      <c r="F1117" s="4">
        <v>0</v>
      </c>
      <c r="G1117" s="4">
        <v>1</v>
      </c>
      <c r="H1117" s="4">
        <v>1</v>
      </c>
      <c r="I1117" s="4" t="s">
        <v>1</v>
      </c>
      <c r="K11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0.73453739666703477</v>
      </c>
    </row>
    <row r="1118" spans="1:11" x14ac:dyDescent="0.3">
      <c r="A1118" s="4">
        <v>25</v>
      </c>
      <c r="B1118" s="4">
        <v>750000</v>
      </c>
      <c r="C1118" s="4">
        <v>3</v>
      </c>
      <c r="D1118" s="4">
        <v>1</v>
      </c>
      <c r="E1118" s="4">
        <v>1</v>
      </c>
      <c r="F1118" s="4">
        <v>1</v>
      </c>
      <c r="G1118" s="4">
        <v>0</v>
      </c>
      <c r="H1118" s="4">
        <v>0</v>
      </c>
      <c r="I1118" s="4" t="s">
        <v>1</v>
      </c>
      <c r="K11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7.9895742138404835E-2</v>
      </c>
    </row>
    <row r="1119" spans="1:11" x14ac:dyDescent="0.3">
      <c r="A1119" s="4">
        <v>29</v>
      </c>
      <c r="B1119" s="4">
        <v>1200000</v>
      </c>
      <c r="C1119" s="4">
        <v>4</v>
      </c>
      <c r="D1119" s="4">
        <v>0</v>
      </c>
      <c r="E1119" s="4">
        <v>1</v>
      </c>
      <c r="F1119" s="4">
        <v>0</v>
      </c>
      <c r="G1119" s="4">
        <v>0</v>
      </c>
      <c r="H1119" s="4">
        <v>0</v>
      </c>
      <c r="I1119" s="4" t="s">
        <v>1</v>
      </c>
      <c r="K11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1120" spans="1:11" x14ac:dyDescent="0.3">
      <c r="A1120" s="4">
        <v>31</v>
      </c>
      <c r="B1120" s="4">
        <v>400000</v>
      </c>
      <c r="C1120" s="4">
        <v>6</v>
      </c>
      <c r="D1120" s="4">
        <v>1</v>
      </c>
      <c r="E1120" s="4">
        <v>1</v>
      </c>
      <c r="F1120" s="4">
        <v>0</v>
      </c>
      <c r="G1120" s="4">
        <v>0</v>
      </c>
      <c r="H1120" s="4">
        <v>0</v>
      </c>
      <c r="I1120" s="4" t="s">
        <v>1</v>
      </c>
      <c r="K11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9.1461359959431235E-2</v>
      </c>
    </row>
    <row r="1121" spans="1:11" x14ac:dyDescent="0.3">
      <c r="A1121" s="4">
        <v>33</v>
      </c>
      <c r="B1121" s="4">
        <v>1400000</v>
      </c>
      <c r="C1121" s="4">
        <v>5</v>
      </c>
      <c r="D1121" s="4">
        <v>0</v>
      </c>
      <c r="E1121" s="4">
        <v>1</v>
      </c>
      <c r="F1121" s="4">
        <v>0</v>
      </c>
      <c r="G1121" s="4">
        <v>0</v>
      </c>
      <c r="H1121" s="4">
        <v>1</v>
      </c>
      <c r="I1121" s="4" t="s">
        <v>1</v>
      </c>
      <c r="K11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0.77877955273222554</v>
      </c>
    </row>
    <row r="1122" spans="1:11" x14ac:dyDescent="0.3">
      <c r="A1122" s="4">
        <v>28</v>
      </c>
      <c r="B1122" s="4">
        <v>1100000</v>
      </c>
      <c r="C1122" s="4">
        <v>5</v>
      </c>
      <c r="D1122" s="4">
        <v>0</v>
      </c>
      <c r="E1122" s="4">
        <v>1</v>
      </c>
      <c r="F1122" s="4">
        <v>0</v>
      </c>
      <c r="G1122" s="4">
        <v>0</v>
      </c>
      <c r="H1122" s="4">
        <v>0</v>
      </c>
      <c r="I1122" s="4" t="s">
        <v>1</v>
      </c>
      <c r="K11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0.26842072635103764</v>
      </c>
    </row>
    <row r="1123" spans="1:11" x14ac:dyDescent="0.3">
      <c r="A1123" s="4">
        <v>29</v>
      </c>
      <c r="B1123" s="4">
        <v>1200000</v>
      </c>
      <c r="C1123" s="4">
        <v>4</v>
      </c>
      <c r="D1123" s="4">
        <v>0</v>
      </c>
      <c r="E1123" s="4">
        <v>1</v>
      </c>
      <c r="F1123" s="4">
        <v>0</v>
      </c>
      <c r="G1123" s="4">
        <v>0</v>
      </c>
      <c r="H1123" s="4">
        <v>0</v>
      </c>
      <c r="I1123" s="4" t="s">
        <v>1</v>
      </c>
      <c r="K11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0.2953932347549626</v>
      </c>
    </row>
    <row r="1124" spans="1:11" x14ac:dyDescent="0.3">
      <c r="A1124" s="4">
        <v>26</v>
      </c>
      <c r="B1124" s="4">
        <v>550000</v>
      </c>
      <c r="C1124" s="4">
        <v>4</v>
      </c>
      <c r="D1124" s="4">
        <v>1</v>
      </c>
      <c r="E1124" s="4">
        <v>1</v>
      </c>
      <c r="F1124" s="4">
        <v>0</v>
      </c>
      <c r="G1124" s="4">
        <v>0</v>
      </c>
      <c r="H1124" s="4">
        <v>0</v>
      </c>
      <c r="I1124" s="4" t="s">
        <v>1</v>
      </c>
      <c r="K11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3.4716739587243653E-2</v>
      </c>
    </row>
    <row r="1125" spans="1:11" x14ac:dyDescent="0.3">
      <c r="A1125" s="4">
        <v>26</v>
      </c>
      <c r="B1125" s="4">
        <v>600000</v>
      </c>
      <c r="C1125" s="4">
        <v>3</v>
      </c>
      <c r="D1125" s="4">
        <v>0</v>
      </c>
      <c r="E1125" s="4">
        <v>1</v>
      </c>
      <c r="F1125" s="4">
        <v>0</v>
      </c>
      <c r="G1125" s="4">
        <v>0</v>
      </c>
      <c r="H1125" s="4">
        <v>0</v>
      </c>
      <c r="I1125" s="4" t="s">
        <v>1</v>
      </c>
      <c r="K11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5.3577047102179323E-2</v>
      </c>
    </row>
    <row r="1126" spans="1:11" x14ac:dyDescent="0.3">
      <c r="A1126" s="4">
        <v>28</v>
      </c>
      <c r="B1126" s="4">
        <v>500000</v>
      </c>
      <c r="C1126" s="4">
        <v>4</v>
      </c>
      <c r="D1126" s="4">
        <v>0</v>
      </c>
      <c r="E1126" s="4">
        <v>1</v>
      </c>
      <c r="F1126" s="4">
        <v>1</v>
      </c>
      <c r="G1126" s="4">
        <v>0</v>
      </c>
      <c r="H1126" s="4">
        <v>0</v>
      </c>
      <c r="I1126" s="4" t="s">
        <v>1</v>
      </c>
      <c r="K11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8.2330250664272214E-2</v>
      </c>
    </row>
    <row r="1127" spans="1:11" x14ac:dyDescent="0.3">
      <c r="A1127" s="4">
        <v>28</v>
      </c>
      <c r="B1127" s="4">
        <v>300000</v>
      </c>
      <c r="C1127" s="4">
        <v>6</v>
      </c>
      <c r="D1127" s="4">
        <v>1</v>
      </c>
      <c r="E1127" s="4">
        <v>1</v>
      </c>
      <c r="F1127" s="4">
        <v>1</v>
      </c>
      <c r="G1127" s="4">
        <v>0</v>
      </c>
      <c r="H1127" s="4">
        <v>0</v>
      </c>
      <c r="I1127" s="4" t="s">
        <v>1</v>
      </c>
      <c r="K11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3.4817689009103168E-2</v>
      </c>
    </row>
    <row r="1128" spans="1:11" x14ac:dyDescent="0.3">
      <c r="A1128" s="4">
        <v>27</v>
      </c>
      <c r="B1128" s="4">
        <v>350000</v>
      </c>
      <c r="C1128" s="4">
        <v>4</v>
      </c>
      <c r="D1128" s="4">
        <v>0</v>
      </c>
      <c r="E1128" s="4">
        <v>0</v>
      </c>
      <c r="F1128" s="4">
        <v>0</v>
      </c>
      <c r="G1128" s="4">
        <v>0</v>
      </c>
      <c r="H1128" s="4">
        <v>0</v>
      </c>
      <c r="I1128" s="4" t="s">
        <v>1</v>
      </c>
      <c r="K11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8.8779924547518027E-2</v>
      </c>
    </row>
    <row r="1129" spans="1:11" x14ac:dyDescent="0.3">
      <c r="A1129" s="4">
        <v>29</v>
      </c>
      <c r="B1129" s="4">
        <v>1100000</v>
      </c>
      <c r="C1129" s="4">
        <v>8</v>
      </c>
      <c r="D1129" s="4">
        <v>0</v>
      </c>
      <c r="E1129" s="4">
        <v>1</v>
      </c>
      <c r="F1129" s="4">
        <v>0</v>
      </c>
      <c r="G1129" s="4">
        <v>0</v>
      </c>
      <c r="H1129" s="4">
        <v>0</v>
      </c>
      <c r="I1129" s="4" t="s">
        <v>1</v>
      </c>
      <c r="K11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0.33384403986177469</v>
      </c>
    </row>
    <row r="1130" spans="1:11" x14ac:dyDescent="0.3">
      <c r="A1130" s="4">
        <v>28</v>
      </c>
      <c r="B1130" s="4">
        <v>800000</v>
      </c>
      <c r="C1130" s="4">
        <v>6</v>
      </c>
      <c r="D1130" s="4">
        <v>0</v>
      </c>
      <c r="E1130" s="4">
        <v>1</v>
      </c>
      <c r="F1130" s="4">
        <v>0</v>
      </c>
      <c r="G1130" s="4">
        <v>0</v>
      </c>
      <c r="H1130" s="4">
        <v>1</v>
      </c>
      <c r="I1130" s="4" t="s">
        <v>1</v>
      </c>
      <c r="K11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0.54424227693869054</v>
      </c>
    </row>
    <row r="1131" spans="1:11" x14ac:dyDescent="0.3">
      <c r="A1131" s="4">
        <v>29</v>
      </c>
      <c r="B1131" s="4">
        <v>1350000</v>
      </c>
      <c r="C1131" s="4">
        <v>4</v>
      </c>
      <c r="D1131" s="4">
        <v>0</v>
      </c>
      <c r="E1131" s="4">
        <v>1</v>
      </c>
      <c r="F1131" s="4">
        <v>0</v>
      </c>
      <c r="G1131" s="4">
        <v>0</v>
      </c>
      <c r="H1131" s="4">
        <v>1</v>
      </c>
      <c r="I1131" s="4" t="s">
        <v>1</v>
      </c>
      <c r="K11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0.69170293248349612</v>
      </c>
    </row>
    <row r="1132" spans="1:11" x14ac:dyDescent="0.3">
      <c r="A1132" s="4">
        <v>28</v>
      </c>
      <c r="B1132" s="4">
        <v>550000</v>
      </c>
      <c r="C1132" s="4">
        <v>5</v>
      </c>
      <c r="D1132" s="4">
        <v>0</v>
      </c>
      <c r="E1132" s="4">
        <v>0</v>
      </c>
      <c r="F1132" s="4">
        <v>0</v>
      </c>
      <c r="G1132" s="4">
        <v>1</v>
      </c>
      <c r="H1132" s="4">
        <v>0</v>
      </c>
      <c r="I1132" s="4" t="s">
        <v>1</v>
      </c>
      <c r="K11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0.27208270121490225</v>
      </c>
    </row>
    <row r="1133" spans="1:11" x14ac:dyDescent="0.3">
      <c r="A1133" s="4">
        <v>33</v>
      </c>
      <c r="B1133" s="4">
        <v>550000</v>
      </c>
      <c r="C1133" s="4">
        <v>3</v>
      </c>
      <c r="D1133" s="4">
        <v>0</v>
      </c>
      <c r="E1133" s="4">
        <v>1</v>
      </c>
      <c r="F1133" s="4">
        <v>1</v>
      </c>
      <c r="G1133" s="4">
        <v>0</v>
      </c>
      <c r="H1133" s="4">
        <v>0</v>
      </c>
      <c r="I1133" s="4" t="s">
        <v>1</v>
      </c>
      <c r="K11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0.14850172262328712</v>
      </c>
    </row>
    <row r="1134" spans="1:11" x14ac:dyDescent="0.3">
      <c r="A1134" s="4">
        <v>34</v>
      </c>
      <c r="B1134" s="4">
        <v>1000000</v>
      </c>
      <c r="C1134" s="4">
        <v>3</v>
      </c>
      <c r="D1134" s="4">
        <v>0</v>
      </c>
      <c r="E1134" s="4">
        <v>1</v>
      </c>
      <c r="F1134" s="4">
        <v>0</v>
      </c>
      <c r="G1134" s="4">
        <v>1</v>
      </c>
      <c r="H1134" s="4">
        <v>0</v>
      </c>
      <c r="I1134" s="4" t="s">
        <v>1</v>
      </c>
      <c r="K11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0.37622171508983432</v>
      </c>
    </row>
    <row r="1135" spans="1:11" x14ac:dyDescent="0.3">
      <c r="A1135" s="4">
        <v>29</v>
      </c>
      <c r="B1135" s="4">
        <v>1050000</v>
      </c>
      <c r="C1135" s="4">
        <v>7</v>
      </c>
      <c r="D1135" s="4">
        <v>0</v>
      </c>
      <c r="E1135" s="4">
        <v>1</v>
      </c>
      <c r="F1135" s="4">
        <v>0</v>
      </c>
      <c r="G1135" s="4">
        <v>1</v>
      </c>
      <c r="H1135" s="4">
        <v>0</v>
      </c>
      <c r="I1135" s="4" t="s">
        <v>1</v>
      </c>
      <c r="K11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0.39245928454463941</v>
      </c>
    </row>
    <row r="1136" spans="1:11" x14ac:dyDescent="0.3">
      <c r="A1136" s="4">
        <v>26</v>
      </c>
      <c r="B1136" s="4">
        <v>500000</v>
      </c>
      <c r="C1136" s="4">
        <v>8</v>
      </c>
      <c r="D1136" s="4">
        <v>1</v>
      </c>
      <c r="E1136" s="4">
        <v>1</v>
      </c>
      <c r="F1136" s="4">
        <v>0</v>
      </c>
      <c r="G1136" s="4">
        <v>0</v>
      </c>
      <c r="H1136" s="4">
        <v>0</v>
      </c>
      <c r="I1136" s="4" t="s">
        <v>1</v>
      </c>
      <c r="K11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8.8473526860830279E-2</v>
      </c>
    </row>
    <row r="1137" spans="1:11" x14ac:dyDescent="0.3">
      <c r="A1137" s="4">
        <v>25</v>
      </c>
      <c r="B1137" s="4">
        <v>1400000</v>
      </c>
      <c r="C1137" s="4">
        <v>3</v>
      </c>
      <c r="D1137" s="4">
        <v>0</v>
      </c>
      <c r="E1137" s="4">
        <v>1</v>
      </c>
      <c r="F1137" s="4">
        <v>0</v>
      </c>
      <c r="G1137" s="4">
        <v>0</v>
      </c>
      <c r="H1137" s="4">
        <v>1</v>
      </c>
      <c r="I1137" s="4" t="s">
        <v>1</v>
      </c>
      <c r="K11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0.63523827656831577</v>
      </c>
    </row>
    <row r="1138" spans="1:11" x14ac:dyDescent="0.3">
      <c r="A1138" s="4">
        <v>28</v>
      </c>
      <c r="B1138" s="4">
        <v>800000</v>
      </c>
      <c r="C1138" s="4">
        <v>5</v>
      </c>
      <c r="D1138" s="4">
        <v>0</v>
      </c>
      <c r="E1138" s="4">
        <v>1</v>
      </c>
      <c r="F1138" s="4">
        <v>0</v>
      </c>
      <c r="G1138" s="4">
        <v>0</v>
      </c>
      <c r="H1138" s="4">
        <v>0</v>
      </c>
      <c r="I1138" s="4" t="s">
        <v>1</v>
      </c>
      <c r="K11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0.17658483335039032</v>
      </c>
    </row>
    <row r="1139" spans="1:11" x14ac:dyDescent="0.3">
      <c r="A1139" s="4">
        <v>25</v>
      </c>
      <c r="B1139" s="4">
        <v>1350000</v>
      </c>
      <c r="C1139" s="4">
        <v>5</v>
      </c>
      <c r="D1139" s="4">
        <v>0</v>
      </c>
      <c r="E1139" s="4">
        <v>0</v>
      </c>
      <c r="F1139" s="4">
        <v>1</v>
      </c>
      <c r="G1139" s="4">
        <v>0</v>
      </c>
      <c r="H1139" s="4">
        <v>1</v>
      </c>
      <c r="I1139" s="4" t="s">
        <v>1</v>
      </c>
      <c r="K11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0.75015154128499639</v>
      </c>
    </row>
    <row r="1140" spans="1:11" x14ac:dyDescent="0.3">
      <c r="A1140" s="4">
        <v>35</v>
      </c>
      <c r="B1140" s="4">
        <v>800000</v>
      </c>
      <c r="C1140" s="4">
        <v>5</v>
      </c>
      <c r="D1140" s="4">
        <v>0</v>
      </c>
      <c r="E1140" s="4">
        <v>0</v>
      </c>
      <c r="F1140" s="4">
        <v>0</v>
      </c>
      <c r="G1140" s="4">
        <v>0</v>
      </c>
      <c r="H1140" s="4">
        <v>0</v>
      </c>
      <c r="I1140" s="4" t="s">
        <v>1</v>
      </c>
      <c r="K11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0.35280934785230833</v>
      </c>
    </row>
    <row r="1141" spans="1:11" x14ac:dyDescent="0.3">
      <c r="A1141" s="4">
        <v>25</v>
      </c>
      <c r="B1141" s="4">
        <v>1800000</v>
      </c>
      <c r="C1141" s="4">
        <v>6</v>
      </c>
      <c r="D1141" s="4">
        <v>0</v>
      </c>
      <c r="E1141" s="4">
        <v>1</v>
      </c>
      <c r="F1141" s="4">
        <v>0</v>
      </c>
      <c r="G1141" s="4">
        <v>1</v>
      </c>
      <c r="H1141" s="4">
        <v>0</v>
      </c>
      <c r="I1141" s="4" t="s">
        <v>1</v>
      </c>
      <c r="K11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0.55027837896430287</v>
      </c>
    </row>
    <row r="1142" spans="1:11" x14ac:dyDescent="0.3">
      <c r="A1142" s="4">
        <v>28</v>
      </c>
      <c r="B1142" s="4">
        <v>800000</v>
      </c>
      <c r="C1142" s="4">
        <v>4</v>
      </c>
      <c r="D1142" s="4">
        <v>0</v>
      </c>
      <c r="E1142" s="4">
        <v>1</v>
      </c>
      <c r="F1142" s="4">
        <v>1</v>
      </c>
      <c r="G1142" s="4">
        <v>1</v>
      </c>
      <c r="H1142" s="4">
        <v>0</v>
      </c>
      <c r="I1142" s="4" t="s">
        <v>1</v>
      </c>
      <c r="K11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0.2653530628746491</v>
      </c>
    </row>
    <row r="1143" spans="1:11" x14ac:dyDescent="0.3">
      <c r="A1143" s="4">
        <v>29</v>
      </c>
      <c r="B1143" s="4">
        <v>600000</v>
      </c>
      <c r="C1143" s="4">
        <v>6</v>
      </c>
      <c r="D1143" s="4">
        <v>0</v>
      </c>
      <c r="E1143" s="4">
        <v>1</v>
      </c>
      <c r="F1143" s="4">
        <v>0</v>
      </c>
      <c r="G1143" s="4">
        <v>0</v>
      </c>
      <c r="H1143" s="4">
        <v>0</v>
      </c>
      <c r="I1143" s="4" t="s">
        <v>1</v>
      </c>
      <c r="K11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0.14625283347384854</v>
      </c>
    </row>
    <row r="1144" spans="1:11" x14ac:dyDescent="0.3">
      <c r="A1144" s="4">
        <v>29</v>
      </c>
      <c r="B1144" s="4">
        <v>1200000</v>
      </c>
      <c r="C1144" s="4">
        <v>6</v>
      </c>
      <c r="D1144" s="4">
        <v>0</v>
      </c>
      <c r="E1144" s="4">
        <v>1</v>
      </c>
      <c r="F1144" s="4">
        <v>0</v>
      </c>
      <c r="G1144" s="4">
        <v>0</v>
      </c>
      <c r="H1144" s="4">
        <v>0</v>
      </c>
      <c r="I1144" s="4" t="s">
        <v>1</v>
      </c>
      <c r="K11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0.32992461947514318</v>
      </c>
    </row>
    <row r="1145" spans="1:11" x14ac:dyDescent="0.3">
      <c r="A1145" s="4">
        <v>32</v>
      </c>
      <c r="B1145" s="4">
        <v>800000</v>
      </c>
      <c r="C1145" s="4">
        <v>5</v>
      </c>
      <c r="D1145" s="4">
        <v>1</v>
      </c>
      <c r="E1145" s="4">
        <v>1</v>
      </c>
      <c r="F1145" s="4">
        <v>1</v>
      </c>
      <c r="G1145" s="4">
        <v>1</v>
      </c>
      <c r="H1145" s="4">
        <v>0</v>
      </c>
      <c r="I1145" s="4" t="s">
        <v>1</v>
      </c>
      <c r="K11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0.31630368324835251</v>
      </c>
    </row>
    <row r="1146" spans="1:11" x14ac:dyDescent="0.3">
      <c r="A1146" s="4">
        <v>28</v>
      </c>
      <c r="B1146" s="4">
        <v>300000</v>
      </c>
      <c r="C1146" s="4">
        <v>3</v>
      </c>
      <c r="D1146" s="4">
        <v>1</v>
      </c>
      <c r="E1146" s="4">
        <v>1</v>
      </c>
      <c r="F1146" s="4">
        <v>0</v>
      </c>
      <c r="G1146" s="4">
        <v>0</v>
      </c>
      <c r="H1146" s="4">
        <v>0</v>
      </c>
      <c r="I1146" s="4" t="s">
        <v>1</v>
      </c>
      <c r="K11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-3.1826390745787178E-2</v>
      </c>
    </row>
    <row r="1147" spans="1:11" x14ac:dyDescent="0.3">
      <c r="A1147" s="4">
        <v>31</v>
      </c>
      <c r="B1147" s="4">
        <v>1400000</v>
      </c>
      <c r="C1147" s="4">
        <v>4</v>
      </c>
      <c r="D1147" s="4">
        <v>0</v>
      </c>
      <c r="E1147" s="4">
        <v>1</v>
      </c>
      <c r="F1147" s="4">
        <v>1</v>
      </c>
      <c r="G1147" s="4">
        <v>0</v>
      </c>
      <c r="H1147" s="4">
        <v>1</v>
      </c>
      <c r="I1147" s="4" t="s">
        <v>1</v>
      </c>
      <c r="K11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0.74910839018582243</v>
      </c>
    </row>
    <row r="1148" spans="1:11" x14ac:dyDescent="0.3">
      <c r="A1148" s="4">
        <v>25</v>
      </c>
      <c r="B1148" s="4">
        <v>1700000</v>
      </c>
      <c r="C1148" s="4">
        <v>6</v>
      </c>
      <c r="D1148" s="4">
        <v>0</v>
      </c>
      <c r="E1148" s="4">
        <v>1</v>
      </c>
      <c r="F1148" s="4">
        <v>0</v>
      </c>
      <c r="G1148" s="4">
        <v>1</v>
      </c>
      <c r="H1148" s="4">
        <v>0</v>
      </c>
      <c r="I1148" s="4" t="s">
        <v>1</v>
      </c>
      <c r="K11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0.51966641463075369</v>
      </c>
    </row>
    <row r="1149" spans="1:11" x14ac:dyDescent="0.3">
      <c r="A1149" s="4">
        <v>31</v>
      </c>
      <c r="B1149" s="4">
        <v>350000</v>
      </c>
      <c r="C1149" s="4">
        <v>4</v>
      </c>
      <c r="D1149" s="4">
        <v>1</v>
      </c>
      <c r="E1149" s="4">
        <v>0</v>
      </c>
      <c r="F1149" s="4">
        <v>1</v>
      </c>
      <c r="G1149" s="4">
        <v>0</v>
      </c>
      <c r="H1149" s="4">
        <v>0</v>
      </c>
      <c r="I1149" s="4" t="s">
        <v>1</v>
      </c>
      <c r="K11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0.1373118552357506</v>
      </c>
    </row>
    <row r="1150" spans="1:11" x14ac:dyDescent="0.3">
      <c r="A1150" s="4">
        <v>29</v>
      </c>
      <c r="B1150" s="4">
        <v>1050000</v>
      </c>
      <c r="C1150" s="4">
        <v>5</v>
      </c>
      <c r="D1150" s="4">
        <v>0</v>
      </c>
      <c r="E1150" s="4">
        <v>1</v>
      </c>
      <c r="F1150" s="4">
        <v>0</v>
      </c>
      <c r="G1150" s="4">
        <v>0</v>
      </c>
      <c r="H1150" s="4">
        <v>0</v>
      </c>
      <c r="I1150" s="4" t="s">
        <v>1</v>
      </c>
      <c r="K11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0.26674098061472917</v>
      </c>
    </row>
    <row r="1151" spans="1:11" x14ac:dyDescent="0.3">
      <c r="A1151" s="4">
        <v>29</v>
      </c>
      <c r="B1151" s="4">
        <v>1200000</v>
      </c>
      <c r="C1151" s="4">
        <v>5</v>
      </c>
      <c r="D1151" s="4">
        <v>0</v>
      </c>
      <c r="E1151" s="4">
        <v>1</v>
      </c>
      <c r="F1151" s="4">
        <v>0</v>
      </c>
      <c r="G1151" s="4">
        <v>0</v>
      </c>
      <c r="H1151" s="4">
        <v>0</v>
      </c>
      <c r="I1151" s="4" t="s">
        <v>1</v>
      </c>
      <c r="K11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0.31265892711505283</v>
      </c>
    </row>
    <row r="1152" spans="1:11" x14ac:dyDescent="0.3">
      <c r="A1152" s="4">
        <v>31</v>
      </c>
      <c r="B1152" s="4">
        <v>1100000</v>
      </c>
      <c r="C1152" s="4">
        <v>4</v>
      </c>
      <c r="D1152" s="4">
        <v>0</v>
      </c>
      <c r="E1152" s="4">
        <v>1</v>
      </c>
      <c r="F1152" s="4">
        <v>0</v>
      </c>
      <c r="G1152" s="4">
        <v>1</v>
      </c>
      <c r="H1152" s="4">
        <v>0</v>
      </c>
      <c r="I1152" s="4" t="s">
        <v>1</v>
      </c>
      <c r="K11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0.38322066249207537</v>
      </c>
    </row>
    <row r="1153" spans="1:11" x14ac:dyDescent="0.3">
      <c r="A1153" s="4">
        <v>31</v>
      </c>
      <c r="B1153" s="4">
        <v>400000</v>
      </c>
      <c r="C1153" s="4">
        <v>5</v>
      </c>
      <c r="D1153" s="4">
        <v>1</v>
      </c>
      <c r="E1153" s="4">
        <v>0</v>
      </c>
      <c r="F1153" s="4">
        <v>0</v>
      </c>
      <c r="G1153" s="4">
        <v>0</v>
      </c>
      <c r="H1153" s="4">
        <v>0</v>
      </c>
      <c r="I1153" s="4" t="s">
        <v>1</v>
      </c>
      <c r="K11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0.15503652708799598</v>
      </c>
    </row>
    <row r="1154" spans="1:11" x14ac:dyDescent="0.3">
      <c r="A1154" s="4">
        <v>33</v>
      </c>
      <c r="B1154" s="4">
        <v>800000</v>
      </c>
      <c r="C1154" s="4">
        <v>4</v>
      </c>
      <c r="D1154" s="4">
        <v>1</v>
      </c>
      <c r="E1154" s="4">
        <v>1</v>
      </c>
      <c r="F1154" s="4">
        <v>0</v>
      </c>
      <c r="G1154" s="4">
        <v>0</v>
      </c>
      <c r="H1154" s="4">
        <v>0</v>
      </c>
      <c r="I1154" s="4" t="s">
        <v>1</v>
      </c>
      <c r="K11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0.20663030543437927</v>
      </c>
    </row>
    <row r="1155" spans="1:11" x14ac:dyDescent="0.3">
      <c r="A1155" s="4">
        <v>34</v>
      </c>
      <c r="B1155" s="4">
        <v>1300000</v>
      </c>
      <c r="C1155" s="4">
        <v>5</v>
      </c>
      <c r="D1155" s="4">
        <v>0</v>
      </c>
      <c r="E1155" s="4">
        <v>1</v>
      </c>
      <c r="F1155" s="4">
        <v>0</v>
      </c>
      <c r="G1155" s="4">
        <v>0</v>
      </c>
      <c r="H1155" s="4">
        <v>1</v>
      </c>
      <c r="I1155" s="4" t="s">
        <v>1</v>
      </c>
      <c r="K11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0.76179382482914249</v>
      </c>
    </row>
    <row r="1156" spans="1:11" x14ac:dyDescent="0.3">
      <c r="A1156" s="4">
        <v>28</v>
      </c>
      <c r="B1156" s="4">
        <v>700000</v>
      </c>
      <c r="C1156" s="4">
        <v>4</v>
      </c>
      <c r="D1156" s="4">
        <v>0</v>
      </c>
      <c r="E1156" s="4">
        <v>1</v>
      </c>
      <c r="F1156" s="4">
        <v>1</v>
      </c>
      <c r="G1156" s="4">
        <v>0</v>
      </c>
      <c r="H1156" s="4">
        <v>1</v>
      </c>
      <c r="I1156" s="4" t="s">
        <v>1</v>
      </c>
      <c r="K11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0.49394593055958025</v>
      </c>
    </row>
    <row r="1157" spans="1:11" x14ac:dyDescent="0.3">
      <c r="A1157" s="4">
        <v>32</v>
      </c>
      <c r="B1157" s="4">
        <v>350000</v>
      </c>
      <c r="C1157" s="4">
        <v>3</v>
      </c>
      <c r="D1157" s="4">
        <v>1</v>
      </c>
      <c r="E1157" s="4">
        <v>1</v>
      </c>
      <c r="F1157" s="4">
        <v>0</v>
      </c>
      <c r="G1157" s="4">
        <v>0</v>
      </c>
      <c r="H1157" s="4">
        <v>1</v>
      </c>
      <c r="I1157" s="4" t="s">
        <v>1</v>
      </c>
      <c r="K11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0.38837628837106181</v>
      </c>
    </row>
    <row r="1158" spans="1:11" x14ac:dyDescent="0.3">
      <c r="A1158" s="4">
        <v>28</v>
      </c>
      <c r="B1158" s="4">
        <v>900000</v>
      </c>
      <c r="C1158" s="4">
        <v>8</v>
      </c>
      <c r="D1158" s="4">
        <v>0</v>
      </c>
      <c r="E1158" s="4">
        <v>1</v>
      </c>
      <c r="F1158" s="4">
        <v>0</v>
      </c>
      <c r="G1158" s="4">
        <v>0</v>
      </c>
      <c r="H1158" s="4">
        <v>0</v>
      </c>
      <c r="I1158" s="4" t="s">
        <v>1</v>
      </c>
      <c r="K11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0.25899387476421037</v>
      </c>
    </row>
    <row r="1159" spans="1:11" x14ac:dyDescent="0.3">
      <c r="A1159" s="4">
        <v>32</v>
      </c>
      <c r="B1159" s="4">
        <v>350000</v>
      </c>
      <c r="C1159" s="4">
        <v>3</v>
      </c>
      <c r="D1159" s="4">
        <v>1</v>
      </c>
      <c r="E1159" s="4">
        <v>1</v>
      </c>
      <c r="F1159" s="4">
        <v>0</v>
      </c>
      <c r="G1159" s="4">
        <v>0</v>
      </c>
      <c r="H1159" s="4">
        <v>1</v>
      </c>
      <c r="I1159" s="4" t="s">
        <v>1</v>
      </c>
      <c r="K11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0.38837628837106181</v>
      </c>
    </row>
    <row r="1160" spans="1:11" x14ac:dyDescent="0.3">
      <c r="A1160" s="4">
        <v>34</v>
      </c>
      <c r="B1160" s="4">
        <v>700000</v>
      </c>
      <c r="C1160" s="4">
        <v>4</v>
      </c>
      <c r="D1160" s="4">
        <v>0</v>
      </c>
      <c r="E1160" s="4">
        <v>1</v>
      </c>
      <c r="F1160" s="4">
        <v>1</v>
      </c>
      <c r="G1160" s="4">
        <v>1</v>
      </c>
      <c r="H1160" s="4">
        <v>0</v>
      </c>
      <c r="I1160" s="4" t="s">
        <v>1</v>
      </c>
      <c r="K11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0.31649851712389676</v>
      </c>
    </row>
    <row r="1161" spans="1:11" x14ac:dyDescent="0.3">
      <c r="A1161" s="4">
        <v>28</v>
      </c>
      <c r="B1161" s="4">
        <v>1200000</v>
      </c>
      <c r="C1161" s="4">
        <v>4</v>
      </c>
      <c r="D1161" s="4">
        <v>0</v>
      </c>
      <c r="E1161" s="4">
        <v>1</v>
      </c>
      <c r="F1161" s="4">
        <v>0</v>
      </c>
      <c r="G1161" s="4">
        <v>0</v>
      </c>
      <c r="H1161" s="4">
        <v>0</v>
      </c>
      <c r="I1161" s="4" t="s">
        <v>1</v>
      </c>
      <c r="K11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0.28176699832449648</v>
      </c>
    </row>
    <row r="1162" spans="1:11" x14ac:dyDescent="0.3">
      <c r="A1162" s="4">
        <v>27</v>
      </c>
      <c r="B1162" s="4">
        <v>350000</v>
      </c>
      <c r="C1162" s="4">
        <v>5</v>
      </c>
      <c r="D1162" s="4">
        <v>0</v>
      </c>
      <c r="E1162" s="4">
        <v>0</v>
      </c>
      <c r="F1162" s="4">
        <v>1</v>
      </c>
      <c r="G1162" s="4">
        <v>0</v>
      </c>
      <c r="H1162" s="4">
        <v>0</v>
      </c>
      <c r="I1162" s="4" t="s">
        <v>1</v>
      </c>
      <c r="K11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0.12089261958222777</v>
      </c>
    </row>
    <row r="1163" spans="1:11" x14ac:dyDescent="0.3">
      <c r="A1163" s="4">
        <v>28</v>
      </c>
      <c r="B1163" s="4">
        <v>300000</v>
      </c>
      <c r="C1163" s="4">
        <v>5</v>
      </c>
      <c r="D1163" s="4">
        <v>1</v>
      </c>
      <c r="E1163" s="4">
        <v>1</v>
      </c>
      <c r="F1163" s="4">
        <v>0</v>
      </c>
      <c r="G1163" s="4">
        <v>0</v>
      </c>
      <c r="H1163" s="4">
        <v>0</v>
      </c>
      <c r="I1163" s="4" t="s">
        <v>1</v>
      </c>
      <c r="K11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2.7049939743934159E-3</v>
      </c>
    </row>
    <row r="1164" spans="1:11" x14ac:dyDescent="0.3">
      <c r="A1164" s="4">
        <v>32</v>
      </c>
      <c r="B1164" s="4">
        <v>850000</v>
      </c>
      <c r="C1164" s="4">
        <v>4</v>
      </c>
      <c r="D1164" s="4">
        <v>1</v>
      </c>
      <c r="E1164" s="4">
        <v>1</v>
      </c>
      <c r="F1164" s="4">
        <v>0</v>
      </c>
      <c r="G1164" s="4">
        <v>0</v>
      </c>
      <c r="H1164" s="4">
        <v>0</v>
      </c>
      <c r="I1164" s="4" t="s">
        <v>1</v>
      </c>
      <c r="K11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0.20831005117068774</v>
      </c>
    </row>
    <row r="1165" spans="1:11" x14ac:dyDescent="0.3">
      <c r="A1165" s="4">
        <v>28</v>
      </c>
      <c r="B1165" s="4">
        <v>1200000</v>
      </c>
      <c r="C1165" s="4">
        <v>3</v>
      </c>
      <c r="D1165" s="4">
        <v>1</v>
      </c>
      <c r="E1165" s="4">
        <v>1</v>
      </c>
      <c r="F1165" s="4">
        <v>0</v>
      </c>
      <c r="G1165" s="4">
        <v>0</v>
      </c>
      <c r="H1165" s="4">
        <v>0</v>
      </c>
      <c r="I1165" s="4" t="s">
        <v>1</v>
      </c>
      <c r="K11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0.2436812882561547</v>
      </c>
    </row>
    <row r="1166" spans="1:11" x14ac:dyDescent="0.3">
      <c r="A1166" s="4">
        <v>31</v>
      </c>
      <c r="B1166" s="4">
        <v>400000</v>
      </c>
      <c r="C1166" s="4">
        <v>7</v>
      </c>
      <c r="D1166" s="4">
        <v>1</v>
      </c>
      <c r="E1166" s="4">
        <v>0</v>
      </c>
      <c r="F1166" s="4">
        <v>1</v>
      </c>
      <c r="G1166" s="4">
        <v>0</v>
      </c>
      <c r="H1166" s="4">
        <v>0</v>
      </c>
      <c r="I1166" s="4" t="s">
        <v>1</v>
      </c>
      <c r="K11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0.20441491448279603</v>
      </c>
    </row>
    <row r="1167" spans="1:11" x14ac:dyDescent="0.3">
      <c r="A1167" s="4">
        <v>28</v>
      </c>
      <c r="B1167" s="4">
        <v>1250000</v>
      </c>
      <c r="C1167" s="4">
        <v>7</v>
      </c>
      <c r="D1167" s="4">
        <v>0</v>
      </c>
      <c r="E1167" s="4">
        <v>1</v>
      </c>
      <c r="F1167" s="4">
        <v>0</v>
      </c>
      <c r="G1167" s="4">
        <v>0</v>
      </c>
      <c r="H1167" s="4">
        <v>0</v>
      </c>
      <c r="I1167" s="4" t="s">
        <v>1</v>
      </c>
      <c r="K11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0.34887005757154194</v>
      </c>
    </row>
    <row r="1168" spans="1:11" x14ac:dyDescent="0.3">
      <c r="A1168" s="4">
        <v>28</v>
      </c>
      <c r="B1168" s="4">
        <v>300000</v>
      </c>
      <c r="C1168" s="4">
        <v>5</v>
      </c>
      <c r="D1168" s="4">
        <v>1</v>
      </c>
      <c r="E1168" s="4">
        <v>1</v>
      </c>
      <c r="F1168" s="4">
        <v>0</v>
      </c>
      <c r="G1168" s="4">
        <v>0</v>
      </c>
      <c r="H1168" s="4">
        <v>0</v>
      </c>
      <c r="I1168" s="4" t="s">
        <v>1</v>
      </c>
      <c r="K11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2.7049939743934159E-3</v>
      </c>
    </row>
    <row r="1169" spans="1:11" x14ac:dyDescent="0.3">
      <c r="A1169" s="4">
        <v>28</v>
      </c>
      <c r="B1169" s="4">
        <v>550000</v>
      </c>
      <c r="C1169" s="4">
        <v>6</v>
      </c>
      <c r="D1169" s="4">
        <v>0</v>
      </c>
      <c r="E1169" s="4">
        <v>0</v>
      </c>
      <c r="F1169" s="4">
        <v>0</v>
      </c>
      <c r="G1169" s="4">
        <v>0</v>
      </c>
      <c r="H1169" s="4">
        <v>0</v>
      </c>
      <c r="I1169" s="4" t="s">
        <v>1</v>
      </c>
      <c r="K11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0.19816147436526294</v>
      </c>
    </row>
    <row r="1170" spans="1:11" x14ac:dyDescent="0.3">
      <c r="A1170" s="4">
        <v>28</v>
      </c>
      <c r="B1170" s="4">
        <v>1200000</v>
      </c>
      <c r="C1170" s="4">
        <v>6</v>
      </c>
      <c r="D1170" s="4">
        <v>0</v>
      </c>
      <c r="E1170" s="4">
        <v>1</v>
      </c>
      <c r="F1170" s="4">
        <v>1</v>
      </c>
      <c r="G1170" s="4">
        <v>0</v>
      </c>
      <c r="H1170" s="4">
        <v>0</v>
      </c>
      <c r="I1170" s="4" t="s">
        <v>1</v>
      </c>
      <c r="K11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0.33114538571929653</v>
      </c>
    </row>
    <row r="1171" spans="1:11" x14ac:dyDescent="0.3">
      <c r="A1171" s="4">
        <v>34</v>
      </c>
      <c r="B1171" s="4">
        <v>700000</v>
      </c>
      <c r="C1171" s="4">
        <v>5</v>
      </c>
      <c r="D1171" s="4">
        <v>0</v>
      </c>
      <c r="E1171" s="4">
        <v>1</v>
      </c>
      <c r="F1171" s="4">
        <v>0</v>
      </c>
      <c r="G1171" s="4">
        <v>0</v>
      </c>
      <c r="H1171" s="4">
        <v>0</v>
      </c>
      <c r="I1171" s="4" t="s">
        <v>1</v>
      </c>
      <c r="K11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0.22773028759963804</v>
      </c>
    </row>
    <row r="1172" spans="1:11" x14ac:dyDescent="0.3">
      <c r="A1172" s="4">
        <v>34</v>
      </c>
      <c r="B1172" s="4">
        <v>1300000</v>
      </c>
      <c r="C1172" s="4">
        <v>5</v>
      </c>
      <c r="D1172" s="4">
        <v>1</v>
      </c>
      <c r="E1172" s="4">
        <v>1</v>
      </c>
      <c r="F1172" s="4">
        <v>0</v>
      </c>
      <c r="G1172" s="4">
        <v>1</v>
      </c>
      <c r="H1172" s="4">
        <v>0</v>
      </c>
      <c r="I1172" s="4" t="s">
        <v>1</v>
      </c>
      <c r="K11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0.48176897510241079</v>
      </c>
    </row>
    <row r="1173" spans="1:11" x14ac:dyDescent="0.3">
      <c r="A1173" s="4">
        <v>27</v>
      </c>
      <c r="B1173" s="4">
        <v>1550000</v>
      </c>
      <c r="C1173" s="4">
        <v>4</v>
      </c>
      <c r="D1173" s="4">
        <v>0</v>
      </c>
      <c r="E1173" s="4">
        <v>0</v>
      </c>
      <c r="F1173" s="4">
        <v>0</v>
      </c>
      <c r="G1173" s="4">
        <v>1</v>
      </c>
      <c r="H1173" s="4">
        <v>0</v>
      </c>
      <c r="I1173" s="4" t="s">
        <v>1</v>
      </c>
      <c r="K11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0.54731041575983685</v>
      </c>
    </row>
    <row r="1174" spans="1:11" x14ac:dyDescent="0.3">
      <c r="A1174" s="4">
        <v>26</v>
      </c>
      <c r="B1174" s="4">
        <v>600000</v>
      </c>
      <c r="C1174" s="4">
        <v>3</v>
      </c>
      <c r="D1174" s="4">
        <v>0</v>
      </c>
      <c r="E1174" s="4">
        <v>1</v>
      </c>
      <c r="F1174" s="4">
        <v>0</v>
      </c>
      <c r="G1174" s="4">
        <v>1</v>
      </c>
      <c r="H1174" s="4">
        <v>0</v>
      </c>
      <c r="I1174" s="4" t="s">
        <v>1</v>
      </c>
      <c r="K11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0.14476396631190891</v>
      </c>
    </row>
    <row r="1175" spans="1:11" x14ac:dyDescent="0.3">
      <c r="A1175" s="4">
        <v>27</v>
      </c>
      <c r="B1175" s="4">
        <v>900000</v>
      </c>
      <c r="C1175" s="4">
        <v>4</v>
      </c>
      <c r="D1175" s="4">
        <v>1</v>
      </c>
      <c r="E1175" s="4">
        <v>1</v>
      </c>
      <c r="F1175" s="4">
        <v>0</v>
      </c>
      <c r="G1175" s="4">
        <v>0</v>
      </c>
      <c r="H1175" s="4">
        <v>0</v>
      </c>
      <c r="I1175" s="4" t="s">
        <v>1</v>
      </c>
      <c r="K11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0.15548485118513161</v>
      </c>
    </row>
    <row r="1176" spans="1:11" x14ac:dyDescent="0.3">
      <c r="A1176" s="4">
        <v>30</v>
      </c>
      <c r="B1176" s="4">
        <v>750000</v>
      </c>
      <c r="C1176" s="4">
        <v>3</v>
      </c>
      <c r="D1176" s="4">
        <v>0</v>
      </c>
      <c r="E1176" s="4">
        <v>0</v>
      </c>
      <c r="F1176" s="4">
        <v>1</v>
      </c>
      <c r="G1176" s="4">
        <v>0</v>
      </c>
      <c r="H1176" s="4">
        <v>0</v>
      </c>
      <c r="I1176" s="4" t="s">
        <v>1</v>
      </c>
      <c r="K11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0.249687801487642</v>
      </c>
    </row>
    <row r="1177" spans="1:11" x14ac:dyDescent="0.3">
      <c r="A1177" s="4">
        <v>32</v>
      </c>
      <c r="B1177" s="4">
        <v>800000</v>
      </c>
      <c r="C1177" s="4">
        <v>3</v>
      </c>
      <c r="D1177" s="4">
        <v>1</v>
      </c>
      <c r="E1177" s="4">
        <v>1</v>
      </c>
      <c r="F1177" s="4">
        <v>1</v>
      </c>
      <c r="G1177" s="4">
        <v>0</v>
      </c>
      <c r="H1177" s="4">
        <v>0</v>
      </c>
      <c r="I1177" s="4" t="s">
        <v>1</v>
      </c>
      <c r="K11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0.1905853793184423</v>
      </c>
    </row>
    <row r="1178" spans="1:11" x14ac:dyDescent="0.3">
      <c r="A1178" s="4">
        <v>28</v>
      </c>
      <c r="B1178" s="4">
        <v>550000</v>
      </c>
      <c r="C1178" s="4">
        <v>8</v>
      </c>
      <c r="D1178" s="4">
        <v>0</v>
      </c>
      <c r="E1178" s="4">
        <v>1</v>
      </c>
      <c r="F1178" s="4">
        <v>0</v>
      </c>
      <c r="G1178" s="4">
        <v>0</v>
      </c>
      <c r="H1178" s="4">
        <v>0</v>
      </c>
      <c r="I1178" s="4" t="s">
        <v>1</v>
      </c>
      <c r="K11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0.15185199959678852</v>
      </c>
    </row>
    <row r="1179" spans="1:11" x14ac:dyDescent="0.3">
      <c r="A1179" s="4">
        <v>34</v>
      </c>
      <c r="B1179" s="4">
        <v>1050000</v>
      </c>
      <c r="C1179" s="4">
        <v>5</v>
      </c>
      <c r="D1179" s="4">
        <v>0</v>
      </c>
      <c r="E1179" s="4">
        <v>1</v>
      </c>
      <c r="F1179" s="4">
        <v>0</v>
      </c>
      <c r="G1179" s="4">
        <v>1</v>
      </c>
      <c r="H1179" s="4">
        <v>0</v>
      </c>
      <c r="I1179" s="4" t="s">
        <v>1</v>
      </c>
      <c r="K11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0.42605908197678949</v>
      </c>
    </row>
    <row r="1180" spans="1:11" x14ac:dyDescent="0.3">
      <c r="A1180" s="4">
        <v>28</v>
      </c>
      <c r="B1180" s="4">
        <v>550000</v>
      </c>
      <c r="C1180" s="4">
        <v>5</v>
      </c>
      <c r="D1180" s="4">
        <v>0</v>
      </c>
      <c r="E1180" s="4">
        <v>1</v>
      </c>
      <c r="F1180" s="4">
        <v>0</v>
      </c>
      <c r="G1180" s="4">
        <v>0</v>
      </c>
      <c r="H1180" s="4">
        <v>0</v>
      </c>
      <c r="I1180" s="4" t="s">
        <v>1</v>
      </c>
      <c r="K11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0.10005492251651761</v>
      </c>
    </row>
    <row r="1181" spans="1:11" x14ac:dyDescent="0.3">
      <c r="A1181" s="4">
        <v>34</v>
      </c>
      <c r="B1181" s="4">
        <v>500000</v>
      </c>
      <c r="C1181" s="4">
        <v>5</v>
      </c>
      <c r="D1181" s="4">
        <v>0</v>
      </c>
      <c r="E1181" s="4">
        <v>1</v>
      </c>
      <c r="F1181" s="4">
        <v>0</v>
      </c>
      <c r="G1181" s="4">
        <v>0</v>
      </c>
      <c r="H1181" s="4">
        <v>0</v>
      </c>
      <c r="I1181" s="4" t="s">
        <v>1</v>
      </c>
      <c r="K11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0.16650635893253984</v>
      </c>
    </row>
    <row r="1182" spans="1:11" x14ac:dyDescent="0.3">
      <c r="A1182" s="4">
        <v>31</v>
      </c>
      <c r="B1182" s="4">
        <v>400000</v>
      </c>
      <c r="C1182" s="4">
        <v>6</v>
      </c>
      <c r="D1182" s="4">
        <v>1</v>
      </c>
      <c r="E1182" s="4">
        <v>1</v>
      </c>
      <c r="F1182" s="4">
        <v>1</v>
      </c>
      <c r="G1182" s="4">
        <v>0</v>
      </c>
      <c r="H1182" s="4">
        <v>0</v>
      </c>
      <c r="I1182" s="4" t="s">
        <v>1</v>
      </c>
      <c r="K11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0.10630836263405069</v>
      </c>
    </row>
    <row r="1183" spans="1:11" x14ac:dyDescent="0.3">
      <c r="A1183" s="4">
        <v>26</v>
      </c>
      <c r="B1183" s="4">
        <v>1400000</v>
      </c>
      <c r="C1183" s="4">
        <v>6</v>
      </c>
      <c r="D1183" s="4">
        <v>0</v>
      </c>
      <c r="E1183" s="4">
        <v>1</v>
      </c>
      <c r="F1183" s="4">
        <v>0</v>
      </c>
      <c r="G1183" s="4">
        <v>0</v>
      </c>
      <c r="H1183" s="4">
        <v>1</v>
      </c>
      <c r="I1183" s="4" t="s">
        <v>1</v>
      </c>
      <c r="K11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0.70066159007905293</v>
      </c>
    </row>
    <row r="1184" spans="1:11" x14ac:dyDescent="0.3">
      <c r="A1184" s="4">
        <v>28</v>
      </c>
      <c r="B1184" s="4">
        <v>300000</v>
      </c>
      <c r="C1184" s="4">
        <v>7</v>
      </c>
      <c r="D1184" s="4">
        <v>1</v>
      </c>
      <c r="E1184" s="4">
        <v>1</v>
      </c>
      <c r="F1184" s="4">
        <v>1</v>
      </c>
      <c r="G1184" s="4">
        <v>0</v>
      </c>
      <c r="H1184" s="4">
        <v>0</v>
      </c>
      <c r="I1184" s="4" t="s">
        <v>1</v>
      </c>
      <c r="K11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5.2083381369193486E-2</v>
      </c>
    </row>
    <row r="1185" spans="1:11" x14ac:dyDescent="0.3">
      <c r="A1185" s="4">
        <v>35</v>
      </c>
      <c r="B1185" s="4">
        <v>800000</v>
      </c>
      <c r="C1185" s="4">
        <v>5</v>
      </c>
      <c r="D1185" s="4">
        <v>0</v>
      </c>
      <c r="E1185" s="4">
        <v>0</v>
      </c>
      <c r="F1185" s="4">
        <v>0</v>
      </c>
      <c r="G1185" s="4">
        <v>0</v>
      </c>
      <c r="H1185" s="4">
        <v>0</v>
      </c>
      <c r="I1185" s="4" t="s">
        <v>1</v>
      </c>
      <c r="K11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0.35280934785230833</v>
      </c>
    </row>
    <row r="1186" spans="1:11" x14ac:dyDescent="0.3">
      <c r="A1186" s="4">
        <v>25</v>
      </c>
      <c r="B1186" s="4">
        <v>1400000</v>
      </c>
      <c r="C1186" s="4">
        <v>5</v>
      </c>
      <c r="D1186" s="4">
        <v>0</v>
      </c>
      <c r="E1186" s="4">
        <v>1</v>
      </c>
      <c r="F1186" s="4">
        <v>0</v>
      </c>
      <c r="G1186" s="4">
        <v>0</v>
      </c>
      <c r="H1186" s="4">
        <v>1</v>
      </c>
      <c r="I1186" s="4" t="s">
        <v>1</v>
      </c>
      <c r="K11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0.66976966128849647</v>
      </c>
    </row>
    <row r="1187" spans="1:11" x14ac:dyDescent="0.3">
      <c r="A1187" s="4">
        <v>31</v>
      </c>
      <c r="B1187" s="4">
        <v>1500000</v>
      </c>
      <c r="C1187" s="4">
        <v>2</v>
      </c>
      <c r="D1187" s="4">
        <v>1</v>
      </c>
      <c r="E1187" s="4">
        <v>1</v>
      </c>
      <c r="F1187" s="4">
        <v>0</v>
      </c>
      <c r="G1187" s="4">
        <v>1</v>
      </c>
      <c r="H1187" s="4">
        <v>1</v>
      </c>
      <c r="I1187" s="4" t="s">
        <v>1</v>
      </c>
      <c r="K11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0.80070886862604962</v>
      </c>
    </row>
    <row r="1188" spans="1:11" x14ac:dyDescent="0.3">
      <c r="A1188" s="4">
        <v>25</v>
      </c>
      <c r="B1188" s="4">
        <v>1700000</v>
      </c>
      <c r="C1188" s="4">
        <v>3</v>
      </c>
      <c r="D1188" s="4">
        <v>0</v>
      </c>
      <c r="E1188" s="4">
        <v>1</v>
      </c>
      <c r="F1188" s="4">
        <v>0</v>
      </c>
      <c r="G1188" s="4">
        <v>1</v>
      </c>
      <c r="H1188" s="4">
        <v>0</v>
      </c>
      <c r="I1188" s="4" t="s">
        <v>1</v>
      </c>
      <c r="K11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0.46786933755048282</v>
      </c>
    </row>
    <row r="1189" spans="1:11" x14ac:dyDescent="0.3">
      <c r="A1189" s="4">
        <v>34</v>
      </c>
      <c r="B1189" s="4">
        <v>1500000</v>
      </c>
      <c r="C1189" s="4">
        <v>4</v>
      </c>
      <c r="D1189" s="4">
        <v>0</v>
      </c>
      <c r="E1189" s="4">
        <v>1</v>
      </c>
      <c r="F1189" s="4">
        <v>0</v>
      </c>
      <c r="G1189" s="4">
        <v>1</v>
      </c>
      <c r="H1189" s="4">
        <v>1</v>
      </c>
      <c r="I1189" s="4" t="s">
        <v>1</v>
      </c>
      <c r="K11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0.89693898034587993</v>
      </c>
    </row>
    <row r="1190" spans="1:11" x14ac:dyDescent="0.3">
      <c r="A1190" s="4">
        <v>29</v>
      </c>
      <c r="B1190" s="4">
        <v>1050000</v>
      </c>
      <c r="C1190" s="4">
        <v>7</v>
      </c>
      <c r="D1190" s="4">
        <v>0</v>
      </c>
      <c r="E1190" s="4">
        <v>1</v>
      </c>
      <c r="F1190" s="4">
        <v>0</v>
      </c>
      <c r="G1190" s="4">
        <v>0</v>
      </c>
      <c r="H1190" s="4">
        <v>0</v>
      </c>
      <c r="I1190" s="4" t="s">
        <v>1</v>
      </c>
      <c r="K11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0.30127236533490981</v>
      </c>
    </row>
    <row r="1191" spans="1:11" x14ac:dyDescent="0.3">
      <c r="A1191" s="4">
        <v>34</v>
      </c>
      <c r="B1191" s="4">
        <v>1000000</v>
      </c>
      <c r="C1191" s="4">
        <v>3</v>
      </c>
      <c r="D1191" s="4">
        <v>0</v>
      </c>
      <c r="E1191" s="4">
        <v>1</v>
      </c>
      <c r="F1191" s="4">
        <v>0</v>
      </c>
      <c r="G1191" s="4">
        <v>0</v>
      </c>
      <c r="H1191" s="4">
        <v>0</v>
      </c>
      <c r="I1191" s="4" t="s">
        <v>1</v>
      </c>
      <c r="K11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0.28503479588010472</v>
      </c>
    </row>
    <row r="1192" spans="1:11" x14ac:dyDescent="0.3">
      <c r="A1192" s="4">
        <v>29</v>
      </c>
      <c r="B1192" s="4">
        <v>500000</v>
      </c>
      <c r="C1192" s="4">
        <v>3</v>
      </c>
      <c r="D1192" s="4">
        <v>0</v>
      </c>
      <c r="E1192" s="4">
        <v>1</v>
      </c>
      <c r="F1192" s="4">
        <v>0</v>
      </c>
      <c r="G1192" s="4">
        <v>0</v>
      </c>
      <c r="H1192" s="4">
        <v>0</v>
      </c>
      <c r="I1192" s="4" t="s">
        <v>1</v>
      </c>
      <c r="K11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6.384379206002859E-2</v>
      </c>
    </row>
    <row r="1193" spans="1:11" x14ac:dyDescent="0.3">
      <c r="A1193" s="4">
        <v>26</v>
      </c>
      <c r="B1193" s="4">
        <v>1400000</v>
      </c>
      <c r="C1193" s="4">
        <v>5</v>
      </c>
      <c r="D1193" s="4">
        <v>0</v>
      </c>
      <c r="E1193" s="4">
        <v>1</v>
      </c>
      <c r="F1193" s="4">
        <v>0</v>
      </c>
      <c r="G1193" s="4">
        <v>0</v>
      </c>
      <c r="H1193" s="4">
        <v>1</v>
      </c>
      <c r="I1193" s="4" t="s">
        <v>1</v>
      </c>
      <c r="K11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0.68339589771896259</v>
      </c>
    </row>
    <row r="1194" spans="1:11" x14ac:dyDescent="0.3">
      <c r="A1194" s="4">
        <v>34</v>
      </c>
      <c r="B1194" s="4">
        <v>1500000</v>
      </c>
      <c r="C1194" s="4">
        <v>4</v>
      </c>
      <c r="D1194" s="4">
        <v>0</v>
      </c>
      <c r="E1194" s="4">
        <v>1</v>
      </c>
      <c r="F1194" s="4">
        <v>1</v>
      </c>
      <c r="G1194" s="4">
        <v>1</v>
      </c>
      <c r="H1194" s="4">
        <v>1</v>
      </c>
      <c r="I1194" s="4" t="s">
        <v>1</v>
      </c>
      <c r="K11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0.9117859830204994</v>
      </c>
    </row>
    <row r="1195" spans="1:11" x14ac:dyDescent="0.3">
      <c r="A1195" s="4">
        <v>28</v>
      </c>
      <c r="B1195" s="4">
        <v>1100000</v>
      </c>
      <c r="C1195" s="4">
        <v>7</v>
      </c>
      <c r="D1195" s="4">
        <v>0</v>
      </c>
      <c r="E1195" s="4">
        <v>1</v>
      </c>
      <c r="F1195" s="4">
        <v>0</v>
      </c>
      <c r="G1195" s="4">
        <v>1</v>
      </c>
      <c r="H1195" s="4">
        <v>0</v>
      </c>
      <c r="I1195" s="4" t="s">
        <v>1</v>
      </c>
      <c r="K11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0.39413903028094788</v>
      </c>
    </row>
    <row r="1196" spans="1:11" x14ac:dyDescent="0.3">
      <c r="A1196" s="4">
        <v>28</v>
      </c>
      <c r="B1196" s="4">
        <v>700000</v>
      </c>
      <c r="C1196" s="4">
        <v>4</v>
      </c>
      <c r="D1196" s="4">
        <v>0</v>
      </c>
      <c r="E1196" s="4">
        <v>1</v>
      </c>
      <c r="F1196" s="4">
        <v>0</v>
      </c>
      <c r="G1196" s="4">
        <v>0</v>
      </c>
      <c r="H1196" s="4">
        <v>0</v>
      </c>
      <c r="I1196" s="4" t="s">
        <v>1</v>
      </c>
      <c r="K11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0.12870717665675097</v>
      </c>
    </row>
    <row r="1197" spans="1:11" x14ac:dyDescent="0.3">
      <c r="A1197" s="4">
        <v>27</v>
      </c>
      <c r="B1197" s="4">
        <v>350000</v>
      </c>
      <c r="C1197" s="4">
        <v>2</v>
      </c>
      <c r="D1197" s="4">
        <v>0</v>
      </c>
      <c r="E1197" s="4">
        <v>0</v>
      </c>
      <c r="F1197" s="4">
        <v>0</v>
      </c>
      <c r="G1197" s="4">
        <v>0</v>
      </c>
      <c r="H1197" s="4">
        <v>0</v>
      </c>
      <c r="I1197" s="4" t="s">
        <v>1</v>
      </c>
      <c r="K11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5.4248539827337433E-2</v>
      </c>
    </row>
    <row r="1198" spans="1:11" x14ac:dyDescent="0.3">
      <c r="A1198" s="4">
        <v>27</v>
      </c>
      <c r="B1198" s="4">
        <v>1050000</v>
      </c>
      <c r="C1198" s="4">
        <v>4</v>
      </c>
      <c r="D1198" s="4">
        <v>1</v>
      </c>
      <c r="E1198" s="4">
        <v>1</v>
      </c>
      <c r="F1198" s="4">
        <v>1</v>
      </c>
      <c r="G1198" s="4">
        <v>0</v>
      </c>
      <c r="H1198" s="4">
        <v>0</v>
      </c>
      <c r="I1198" s="4" t="s">
        <v>1</v>
      </c>
      <c r="K11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0.21624980036007471</v>
      </c>
    </row>
    <row r="1199" spans="1:11" x14ac:dyDescent="0.3">
      <c r="A1199" s="4">
        <v>34</v>
      </c>
      <c r="B1199" s="4">
        <v>1300000</v>
      </c>
      <c r="C1199" s="4">
        <v>4</v>
      </c>
      <c r="D1199" s="4">
        <v>0</v>
      </c>
      <c r="E1199" s="4">
        <v>1</v>
      </c>
      <c r="F1199" s="4">
        <v>0</v>
      </c>
      <c r="G1199" s="4">
        <v>0</v>
      </c>
      <c r="H1199" s="4">
        <v>0</v>
      </c>
      <c r="I1199" s="4" t="s">
        <v>1</v>
      </c>
      <c r="K11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0.39413638124084238</v>
      </c>
    </row>
    <row r="1200" spans="1:11" x14ac:dyDescent="0.3">
      <c r="A1200" s="4">
        <v>31</v>
      </c>
      <c r="B1200" s="4">
        <v>1350000</v>
      </c>
      <c r="C1200" s="4">
        <v>9</v>
      </c>
      <c r="D1200" s="4">
        <v>0</v>
      </c>
      <c r="E1200" s="4">
        <v>1</v>
      </c>
      <c r="F1200" s="4">
        <v>1</v>
      </c>
      <c r="G1200" s="4">
        <v>0</v>
      </c>
      <c r="H1200" s="4">
        <v>1</v>
      </c>
      <c r="I1200" s="4" t="s">
        <v>1</v>
      </c>
      <c r="K12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0.82013086981949934</v>
      </c>
    </row>
    <row r="1201" spans="1:11" x14ac:dyDescent="0.3">
      <c r="A1201" s="4">
        <v>27</v>
      </c>
      <c r="B1201" s="4">
        <v>500000</v>
      </c>
      <c r="C1201" s="4">
        <v>4</v>
      </c>
      <c r="D1201" s="4">
        <v>1</v>
      </c>
      <c r="E1201" s="4">
        <v>1</v>
      </c>
      <c r="F1201" s="4">
        <v>0</v>
      </c>
      <c r="G1201" s="4">
        <v>0</v>
      </c>
      <c r="H1201" s="4">
        <v>0</v>
      </c>
      <c r="I1201" s="4" t="s">
        <v>1</v>
      </c>
      <c r="K12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3.3036993850935212E-2</v>
      </c>
    </row>
    <row r="1202" spans="1:11" x14ac:dyDescent="0.3">
      <c r="A1202" s="4">
        <v>28</v>
      </c>
      <c r="B1202" s="4">
        <v>1200000</v>
      </c>
      <c r="C1202" s="4">
        <v>4</v>
      </c>
      <c r="D1202" s="4">
        <v>1</v>
      </c>
      <c r="E1202" s="4">
        <v>1</v>
      </c>
      <c r="F1202" s="4">
        <v>0</v>
      </c>
      <c r="G1202" s="4">
        <v>0</v>
      </c>
      <c r="H1202" s="4">
        <v>0</v>
      </c>
      <c r="I1202" s="4" t="s">
        <v>1</v>
      </c>
      <c r="K12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0.26094698061624505</v>
      </c>
    </row>
    <row r="1203" spans="1:11" x14ac:dyDescent="0.3">
      <c r="A1203" s="4">
        <v>35</v>
      </c>
      <c r="B1203" s="4">
        <v>1100000</v>
      </c>
      <c r="C1203" s="4">
        <v>3</v>
      </c>
      <c r="D1203" s="4">
        <v>1</v>
      </c>
      <c r="E1203" s="4">
        <v>1</v>
      </c>
      <c r="F1203" s="4">
        <v>0</v>
      </c>
      <c r="G1203" s="4">
        <v>0</v>
      </c>
      <c r="H1203" s="4">
        <v>0</v>
      </c>
      <c r="I1203" s="4" t="s">
        <v>1</v>
      </c>
      <c r="K12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0.30845297893586859</v>
      </c>
    </row>
    <row r="1204" spans="1:11" x14ac:dyDescent="0.3">
      <c r="A1204" s="4">
        <v>32</v>
      </c>
      <c r="B1204" s="4">
        <v>350000</v>
      </c>
      <c r="C1204" s="4">
        <v>6</v>
      </c>
      <c r="D1204" s="4">
        <v>1</v>
      </c>
      <c r="E1204" s="4">
        <v>1</v>
      </c>
      <c r="F1204" s="4">
        <v>0</v>
      </c>
      <c r="G1204" s="4">
        <v>0</v>
      </c>
      <c r="H1204" s="4">
        <v>0</v>
      </c>
      <c r="I1204" s="4" t="s">
        <v>1</v>
      </c>
      <c r="K12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8.9781614223122821E-2</v>
      </c>
    </row>
    <row r="1205" spans="1:11" x14ac:dyDescent="0.3">
      <c r="A1205" s="4">
        <v>31</v>
      </c>
      <c r="B1205" s="4">
        <v>900000</v>
      </c>
      <c r="C1205" s="4">
        <v>5</v>
      </c>
      <c r="D1205" s="4">
        <v>0</v>
      </c>
      <c r="E1205" s="4">
        <v>1</v>
      </c>
      <c r="F1205" s="4">
        <v>0</v>
      </c>
      <c r="G1205" s="4">
        <v>0</v>
      </c>
      <c r="H1205" s="4">
        <v>0</v>
      </c>
      <c r="I1205" s="4" t="s">
        <v>1</v>
      </c>
      <c r="K120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0.24807550697533787</v>
      </c>
    </row>
    <row r="1206" spans="1:11" x14ac:dyDescent="0.3">
      <c r="A1206" s="4">
        <v>26</v>
      </c>
      <c r="B1206" s="4">
        <v>750000</v>
      </c>
      <c r="C1206" s="4">
        <v>5</v>
      </c>
      <c r="D1206" s="4">
        <v>0</v>
      </c>
      <c r="E1206" s="4">
        <v>1</v>
      </c>
      <c r="F1206" s="4">
        <v>1</v>
      </c>
      <c r="G1206" s="4">
        <v>0</v>
      </c>
      <c r="H1206" s="4">
        <v>0</v>
      </c>
      <c r="I1206" s="4" t="s">
        <v>1</v>
      </c>
      <c r="K120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0.14887338099730299</v>
      </c>
    </row>
    <row r="1207" spans="1:11" x14ac:dyDescent="0.3">
      <c r="A1207" s="4">
        <v>31</v>
      </c>
      <c r="B1207" s="4">
        <v>1300000</v>
      </c>
      <c r="C1207" s="4">
        <v>6</v>
      </c>
      <c r="D1207" s="4">
        <v>1</v>
      </c>
      <c r="E1207" s="4">
        <v>1</v>
      </c>
      <c r="F1207" s="4">
        <v>0</v>
      </c>
      <c r="G1207" s="4">
        <v>0</v>
      </c>
      <c r="H1207" s="4">
        <v>0</v>
      </c>
      <c r="I1207" s="4" t="s">
        <v>1</v>
      </c>
      <c r="K120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0.36696903896137317</v>
      </c>
    </row>
    <row r="1208" spans="1:11" x14ac:dyDescent="0.3">
      <c r="A1208" s="4">
        <v>28</v>
      </c>
      <c r="B1208" s="4">
        <v>1200000</v>
      </c>
      <c r="C1208" s="4">
        <v>5</v>
      </c>
      <c r="D1208" s="4">
        <v>1</v>
      </c>
      <c r="E1208" s="4">
        <v>1</v>
      </c>
      <c r="F1208" s="4">
        <v>0</v>
      </c>
      <c r="G1208" s="4">
        <v>0</v>
      </c>
      <c r="H1208" s="4">
        <v>0</v>
      </c>
      <c r="I1208" s="4" t="s">
        <v>1</v>
      </c>
      <c r="K120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0.27821267297633528</v>
      </c>
    </row>
    <row r="1209" spans="1:11" x14ac:dyDescent="0.3">
      <c r="A1209" s="4">
        <v>28</v>
      </c>
      <c r="B1209" s="4">
        <v>800000</v>
      </c>
      <c r="C1209" s="4">
        <v>7</v>
      </c>
      <c r="D1209" s="4">
        <v>0</v>
      </c>
      <c r="E1209" s="4">
        <v>1</v>
      </c>
      <c r="F1209" s="4">
        <v>1</v>
      </c>
      <c r="G1209" s="4">
        <v>0</v>
      </c>
      <c r="H1209" s="4">
        <v>0</v>
      </c>
      <c r="I1209" s="4" t="s">
        <v>1</v>
      </c>
      <c r="K120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0.2259632207451904</v>
      </c>
    </row>
    <row r="1210" spans="1:11" x14ac:dyDescent="0.3">
      <c r="A1210" s="4">
        <v>28</v>
      </c>
      <c r="B1210" s="4">
        <v>700000</v>
      </c>
      <c r="C1210" s="4">
        <v>5</v>
      </c>
      <c r="D1210" s="4">
        <v>0</v>
      </c>
      <c r="E1210" s="4">
        <v>1</v>
      </c>
      <c r="F1210" s="4">
        <v>0</v>
      </c>
      <c r="G1210" s="4">
        <v>0</v>
      </c>
      <c r="H1210" s="4">
        <v>0</v>
      </c>
      <c r="I1210" s="4" t="s">
        <v>1</v>
      </c>
      <c r="K121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0.14597286901684126</v>
      </c>
    </row>
    <row r="1211" spans="1:11" x14ac:dyDescent="0.3">
      <c r="A1211" s="4">
        <v>32</v>
      </c>
      <c r="B1211" s="4">
        <v>850000</v>
      </c>
      <c r="C1211" s="4">
        <v>4</v>
      </c>
      <c r="D1211" s="4">
        <v>1</v>
      </c>
      <c r="E1211" s="4">
        <v>1</v>
      </c>
      <c r="F1211" s="4">
        <v>1</v>
      </c>
      <c r="G1211" s="4">
        <v>0</v>
      </c>
      <c r="H1211" s="4">
        <v>0</v>
      </c>
      <c r="I1211" s="4" t="s">
        <v>1</v>
      </c>
      <c r="K121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0.22315705384530718</v>
      </c>
    </row>
    <row r="1212" spans="1:11" x14ac:dyDescent="0.3">
      <c r="A1212" s="4">
        <v>28</v>
      </c>
      <c r="B1212" s="4">
        <v>700000</v>
      </c>
      <c r="C1212" s="4">
        <v>4</v>
      </c>
      <c r="D1212" s="4">
        <v>0</v>
      </c>
      <c r="E1212" s="4">
        <v>1</v>
      </c>
      <c r="F1212" s="4">
        <v>1</v>
      </c>
      <c r="G1212" s="4">
        <v>0</v>
      </c>
      <c r="H1212" s="4">
        <v>0</v>
      </c>
      <c r="I1212" s="4" t="s">
        <v>1</v>
      </c>
      <c r="K121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0.14355417933137041</v>
      </c>
    </row>
    <row r="1213" spans="1:11" x14ac:dyDescent="0.3">
      <c r="A1213" s="4">
        <v>26</v>
      </c>
      <c r="B1213" s="4">
        <v>500000</v>
      </c>
      <c r="C1213" s="4">
        <v>3</v>
      </c>
      <c r="D1213" s="4">
        <v>1</v>
      </c>
      <c r="E1213" s="4">
        <v>1</v>
      </c>
      <c r="F1213" s="4">
        <v>0</v>
      </c>
      <c r="G1213" s="4">
        <v>0</v>
      </c>
      <c r="H1213" s="4">
        <v>0</v>
      </c>
      <c r="I1213" s="4" t="s">
        <v>1</v>
      </c>
      <c r="K121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2.1450650603788007E-3</v>
      </c>
    </row>
    <row r="1214" spans="1:11" x14ac:dyDescent="0.3">
      <c r="A1214" s="4">
        <v>31</v>
      </c>
      <c r="B1214" s="4">
        <v>1400000</v>
      </c>
      <c r="C1214" s="4">
        <v>3</v>
      </c>
      <c r="D1214" s="4">
        <v>0</v>
      </c>
      <c r="E1214" s="4">
        <v>1</v>
      </c>
      <c r="F1214" s="4">
        <v>0</v>
      </c>
      <c r="G1214" s="4">
        <v>0</v>
      </c>
      <c r="H1214" s="4">
        <v>1</v>
      </c>
      <c r="I1214" s="4" t="s">
        <v>1</v>
      </c>
      <c r="K121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0.71699569515111272</v>
      </c>
    </row>
    <row r="1215" spans="1:11" x14ac:dyDescent="0.3">
      <c r="A1215" s="4">
        <v>35</v>
      </c>
      <c r="B1215" s="4">
        <v>1100000</v>
      </c>
      <c r="C1215" s="4">
        <v>4</v>
      </c>
      <c r="D1215" s="4">
        <v>1</v>
      </c>
      <c r="E1215" s="4">
        <v>1</v>
      </c>
      <c r="F1215" s="4">
        <v>0</v>
      </c>
      <c r="G1215" s="4">
        <v>1</v>
      </c>
      <c r="H1215" s="4">
        <v>0</v>
      </c>
      <c r="I1215" s="4" t="s">
        <v>1</v>
      </c>
      <c r="K121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0.41690559050568854</v>
      </c>
    </row>
    <row r="1216" spans="1:11" x14ac:dyDescent="0.3">
      <c r="A1216" s="4">
        <v>25</v>
      </c>
      <c r="B1216" s="4">
        <v>600000</v>
      </c>
      <c r="C1216" s="4">
        <v>4</v>
      </c>
      <c r="D1216" s="4">
        <v>0</v>
      </c>
      <c r="E1216" s="4">
        <v>0</v>
      </c>
      <c r="F1216" s="4">
        <v>1</v>
      </c>
      <c r="G1216" s="4">
        <v>1</v>
      </c>
      <c r="H1216" s="4">
        <v>0</v>
      </c>
      <c r="I1216" s="4" t="s">
        <v>1</v>
      </c>
      <c r="K121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0.24409128440480748</v>
      </c>
    </row>
    <row r="1217" spans="1:11" x14ac:dyDescent="0.3">
      <c r="A1217" s="4">
        <v>31</v>
      </c>
      <c r="B1217" s="4">
        <v>1250000</v>
      </c>
      <c r="C1217" s="4">
        <v>4</v>
      </c>
      <c r="D1217" s="4">
        <v>0</v>
      </c>
      <c r="E1217" s="4">
        <v>1</v>
      </c>
      <c r="F1217" s="4">
        <v>1</v>
      </c>
      <c r="G1217" s="4">
        <v>0</v>
      </c>
      <c r="H1217" s="4">
        <v>0</v>
      </c>
      <c r="I1217" s="4" t="s">
        <v>1</v>
      </c>
      <c r="K121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0.3527986924572889</v>
      </c>
    </row>
    <row r="1218" spans="1:11" x14ac:dyDescent="0.3">
      <c r="A1218" s="4">
        <v>27</v>
      </c>
      <c r="B1218" s="4">
        <v>1000000</v>
      </c>
      <c r="C1218" s="4">
        <v>3</v>
      </c>
      <c r="D1218" s="4">
        <v>0</v>
      </c>
      <c r="E1218" s="4">
        <v>0</v>
      </c>
      <c r="F1218" s="4">
        <v>1</v>
      </c>
      <c r="G1218" s="4">
        <v>0</v>
      </c>
      <c r="H1218" s="4">
        <v>0</v>
      </c>
      <c r="I1218" s="4" t="s">
        <v>1</v>
      </c>
      <c r="K121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0.28533900303011633</v>
      </c>
    </row>
    <row r="1219" spans="1:11" x14ac:dyDescent="0.3">
      <c r="A1219" s="4">
        <v>28</v>
      </c>
      <c r="B1219" s="4">
        <v>600000</v>
      </c>
      <c r="C1219" s="4">
        <v>4</v>
      </c>
      <c r="D1219" s="4">
        <v>1</v>
      </c>
      <c r="E1219" s="4">
        <v>1</v>
      </c>
      <c r="F1219" s="4">
        <v>1</v>
      </c>
      <c r="G1219" s="4">
        <v>0</v>
      </c>
      <c r="H1219" s="4">
        <v>0</v>
      </c>
      <c r="I1219" s="4" t="s">
        <v>1</v>
      </c>
      <c r="K121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9.2122197289569885E-2</v>
      </c>
    </row>
    <row r="1220" spans="1:11" x14ac:dyDescent="0.3">
      <c r="A1220" s="4">
        <v>33</v>
      </c>
      <c r="B1220" s="4">
        <v>400000</v>
      </c>
      <c r="C1220" s="4">
        <v>2</v>
      </c>
      <c r="D1220" s="4">
        <v>1</v>
      </c>
      <c r="E1220" s="4">
        <v>1</v>
      </c>
      <c r="F1220" s="4">
        <v>0</v>
      </c>
      <c r="G1220" s="4">
        <v>0</v>
      </c>
      <c r="H1220" s="4">
        <v>0</v>
      </c>
      <c r="I1220" s="4" t="s">
        <v>1</v>
      </c>
      <c r="K122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4.9651063380002317E-2</v>
      </c>
    </row>
    <row r="1221" spans="1:11" x14ac:dyDescent="0.3">
      <c r="A1221" s="4">
        <v>33</v>
      </c>
      <c r="B1221" s="4">
        <v>650000</v>
      </c>
      <c r="C1221" s="4">
        <v>4</v>
      </c>
      <c r="D1221" s="4">
        <v>1</v>
      </c>
      <c r="E1221" s="4">
        <v>1</v>
      </c>
      <c r="F1221" s="4">
        <v>0</v>
      </c>
      <c r="G1221" s="4">
        <v>0</v>
      </c>
      <c r="H1221" s="4">
        <v>1</v>
      </c>
      <c r="I1221" s="4" t="s">
        <v>1</v>
      </c>
      <c r="K122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0.51110411016226553</v>
      </c>
    </row>
    <row r="1222" spans="1:11" x14ac:dyDescent="0.3">
      <c r="A1222" s="4">
        <v>28</v>
      </c>
      <c r="B1222" s="4">
        <v>700000</v>
      </c>
      <c r="C1222" s="4">
        <v>7</v>
      </c>
      <c r="D1222" s="4">
        <v>0</v>
      </c>
      <c r="E1222" s="4">
        <v>1</v>
      </c>
      <c r="F1222" s="4">
        <v>0</v>
      </c>
      <c r="G1222" s="4">
        <v>1</v>
      </c>
      <c r="H1222" s="4">
        <v>0</v>
      </c>
      <c r="I1222" s="4" t="s">
        <v>1</v>
      </c>
      <c r="K122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0.27169117294675144</v>
      </c>
    </row>
    <row r="1223" spans="1:11" x14ac:dyDescent="0.3">
      <c r="A1223" s="4">
        <v>25</v>
      </c>
      <c r="B1223" s="4">
        <v>600000</v>
      </c>
      <c r="C1223" s="4">
        <v>4</v>
      </c>
      <c r="D1223" s="4">
        <v>0</v>
      </c>
      <c r="E1223" s="4">
        <v>0</v>
      </c>
      <c r="F1223" s="4">
        <v>1</v>
      </c>
      <c r="G1223" s="4">
        <v>1</v>
      </c>
      <c r="H1223" s="4">
        <v>0</v>
      </c>
      <c r="I1223" s="4" t="s">
        <v>1</v>
      </c>
      <c r="K122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0.24409128440480748</v>
      </c>
    </row>
    <row r="1224" spans="1:11" x14ac:dyDescent="0.3">
      <c r="A1224" s="4">
        <v>28</v>
      </c>
      <c r="B1224" s="4">
        <v>1450000</v>
      </c>
      <c r="C1224" s="4">
        <v>6</v>
      </c>
      <c r="D1224" s="4">
        <v>0</v>
      </c>
      <c r="E1224" s="4">
        <v>1</v>
      </c>
      <c r="F1224" s="4">
        <v>0</v>
      </c>
      <c r="G1224" s="4">
        <v>1</v>
      </c>
      <c r="H1224" s="4">
        <v>1</v>
      </c>
      <c r="I1224" s="4" t="s">
        <v>1</v>
      </c>
      <c r="K122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0.83440696431648931</v>
      </c>
    </row>
    <row r="1225" spans="1:11" x14ac:dyDescent="0.3">
      <c r="A1225" s="4">
        <v>28</v>
      </c>
      <c r="B1225" s="4">
        <v>600000</v>
      </c>
      <c r="C1225" s="4">
        <v>5</v>
      </c>
      <c r="D1225" s="4">
        <v>0</v>
      </c>
      <c r="E1225" s="4">
        <v>1</v>
      </c>
      <c r="F1225" s="4">
        <v>0</v>
      </c>
      <c r="G1225" s="4">
        <v>1</v>
      </c>
      <c r="H1225" s="4">
        <v>0</v>
      </c>
      <c r="I1225" s="4" t="s">
        <v>1</v>
      </c>
      <c r="K122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0.20654782389302173</v>
      </c>
    </row>
    <row r="1226" spans="1:11" x14ac:dyDescent="0.3">
      <c r="A1226" s="4">
        <v>28</v>
      </c>
      <c r="B1226" s="4">
        <v>800000</v>
      </c>
      <c r="C1226" s="4">
        <v>4</v>
      </c>
      <c r="D1226" s="4">
        <v>0</v>
      </c>
      <c r="E1226" s="4">
        <v>1</v>
      </c>
      <c r="F1226" s="4">
        <v>0</v>
      </c>
      <c r="G1226" s="4">
        <v>0</v>
      </c>
      <c r="H1226" s="4">
        <v>0</v>
      </c>
      <c r="I1226" s="4" t="s">
        <v>1</v>
      </c>
      <c r="K122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0.15931914099030009</v>
      </c>
    </row>
    <row r="1227" spans="1:11" x14ac:dyDescent="0.3">
      <c r="A1227" s="4">
        <v>28</v>
      </c>
      <c r="B1227" s="4">
        <v>300000</v>
      </c>
      <c r="C1227" s="4">
        <v>4</v>
      </c>
      <c r="D1227" s="4">
        <v>1</v>
      </c>
      <c r="E1227" s="4">
        <v>0</v>
      </c>
      <c r="F1227" s="4">
        <v>1</v>
      </c>
      <c r="G1227" s="4">
        <v>0</v>
      </c>
      <c r="H1227" s="4">
        <v>0</v>
      </c>
      <c r="I1227" s="4" t="s">
        <v>1</v>
      </c>
      <c r="K122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8.1127163777577616E-2</v>
      </c>
    </row>
    <row r="1228" spans="1:11" x14ac:dyDescent="0.3">
      <c r="A1228" s="4">
        <v>28</v>
      </c>
      <c r="B1228" s="4">
        <v>1150000</v>
      </c>
      <c r="C1228" s="4">
        <v>7</v>
      </c>
      <c r="D1228" s="4">
        <v>0</v>
      </c>
      <c r="E1228" s="4">
        <v>1</v>
      </c>
      <c r="F1228" s="4">
        <v>0</v>
      </c>
      <c r="G1228" s="4">
        <v>0</v>
      </c>
      <c r="H1228" s="4">
        <v>0</v>
      </c>
      <c r="I1228" s="4" t="s">
        <v>1</v>
      </c>
      <c r="K122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0.31825809323799281</v>
      </c>
    </row>
    <row r="1229" spans="1:11" x14ac:dyDescent="0.3">
      <c r="A1229" s="4">
        <v>27</v>
      </c>
      <c r="B1229" s="4">
        <v>1550000</v>
      </c>
      <c r="C1229" s="4">
        <v>6</v>
      </c>
      <c r="D1229" s="4">
        <v>0</v>
      </c>
      <c r="E1229" s="4">
        <v>0</v>
      </c>
      <c r="F1229" s="4">
        <v>1</v>
      </c>
      <c r="G1229" s="4">
        <v>1</v>
      </c>
      <c r="H1229" s="4">
        <v>0</v>
      </c>
      <c r="I1229" s="4" t="s">
        <v>1</v>
      </c>
      <c r="K122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0.5966888031546369</v>
      </c>
    </row>
    <row r="1230" spans="1:11" x14ac:dyDescent="0.3">
      <c r="A1230" s="4">
        <v>34</v>
      </c>
      <c r="B1230" s="4">
        <v>500000</v>
      </c>
      <c r="C1230" s="4">
        <v>4</v>
      </c>
      <c r="D1230" s="4">
        <v>0</v>
      </c>
      <c r="E1230" s="4">
        <v>1</v>
      </c>
      <c r="F1230" s="4">
        <v>0</v>
      </c>
      <c r="G1230" s="4">
        <v>0</v>
      </c>
      <c r="H1230" s="4">
        <v>0</v>
      </c>
      <c r="I1230" s="4" t="s">
        <v>1</v>
      </c>
      <c r="K123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0.14924066657244955</v>
      </c>
    </row>
    <row r="1231" spans="1:11" x14ac:dyDescent="0.3">
      <c r="A1231" s="4">
        <v>33</v>
      </c>
      <c r="B1231" s="4">
        <v>1100000</v>
      </c>
      <c r="C1231" s="4">
        <v>5</v>
      </c>
      <c r="D1231" s="4">
        <v>1</v>
      </c>
      <c r="E1231" s="4">
        <v>1</v>
      </c>
      <c r="F1231" s="4">
        <v>0</v>
      </c>
      <c r="G1231" s="4">
        <v>0</v>
      </c>
      <c r="H1231" s="4">
        <v>0</v>
      </c>
      <c r="I1231" s="4" t="s">
        <v>1</v>
      </c>
      <c r="K123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0.31573189079511693</v>
      </c>
    </row>
    <row r="1232" spans="1:11" x14ac:dyDescent="0.3">
      <c r="A1232" s="4">
        <v>30</v>
      </c>
      <c r="B1232" s="4">
        <v>550000</v>
      </c>
      <c r="C1232" s="4">
        <v>6</v>
      </c>
      <c r="D1232" s="4">
        <v>0</v>
      </c>
      <c r="E1232" s="4">
        <v>0</v>
      </c>
      <c r="F1232" s="4">
        <v>0</v>
      </c>
      <c r="G1232" s="4">
        <v>0</v>
      </c>
      <c r="H1232" s="4">
        <v>0</v>
      </c>
      <c r="I1232" s="4" t="s">
        <v>1</v>
      </c>
      <c r="K123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0.22541394722619523</v>
      </c>
    </row>
    <row r="1233" spans="1:11" x14ac:dyDescent="0.3">
      <c r="A1233" s="4">
        <v>28</v>
      </c>
      <c r="B1233" s="4">
        <v>800000</v>
      </c>
      <c r="C1233" s="4">
        <v>5</v>
      </c>
      <c r="D1233" s="4">
        <v>0</v>
      </c>
      <c r="E1233" s="4">
        <v>1</v>
      </c>
      <c r="F1233" s="4">
        <v>0</v>
      </c>
      <c r="G1233" s="4">
        <v>0</v>
      </c>
      <c r="H1233" s="4">
        <v>0</v>
      </c>
      <c r="I1233" s="4" t="s">
        <v>1</v>
      </c>
      <c r="K123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0.17658483335039032</v>
      </c>
    </row>
    <row r="1234" spans="1:11" x14ac:dyDescent="0.3">
      <c r="A1234" s="4">
        <v>28</v>
      </c>
      <c r="B1234" s="4">
        <v>1100000</v>
      </c>
      <c r="C1234" s="4">
        <v>6</v>
      </c>
      <c r="D1234" s="4">
        <v>1</v>
      </c>
      <c r="E1234" s="4">
        <v>1</v>
      </c>
      <c r="F1234" s="4">
        <v>1</v>
      </c>
      <c r="G1234" s="4">
        <v>0</v>
      </c>
      <c r="H1234" s="4">
        <v>0</v>
      </c>
      <c r="I1234" s="4" t="s">
        <v>1</v>
      </c>
      <c r="K123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0.27971340367749603</v>
      </c>
    </row>
    <row r="1235" spans="1:11" x14ac:dyDescent="0.3">
      <c r="A1235" s="4">
        <v>34</v>
      </c>
      <c r="B1235" s="4">
        <v>1300000</v>
      </c>
      <c r="C1235" s="4">
        <v>4</v>
      </c>
      <c r="D1235" s="4">
        <v>0</v>
      </c>
      <c r="E1235" s="4">
        <v>0</v>
      </c>
      <c r="F1235" s="4">
        <v>0</v>
      </c>
      <c r="G1235" s="4">
        <v>0</v>
      </c>
      <c r="H1235" s="4">
        <v>0</v>
      </c>
      <c r="I1235" s="4" t="s">
        <v>1</v>
      </c>
      <c r="K123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0.47497724072949743</v>
      </c>
    </row>
    <row r="1236" spans="1:11" x14ac:dyDescent="0.3">
      <c r="A1236" s="4">
        <v>33</v>
      </c>
      <c r="B1236" s="4">
        <v>1400000</v>
      </c>
      <c r="C1236" s="4">
        <v>3</v>
      </c>
      <c r="D1236" s="4">
        <v>0</v>
      </c>
      <c r="E1236" s="4">
        <v>1</v>
      </c>
      <c r="F1236" s="4">
        <v>0</v>
      </c>
      <c r="G1236" s="4">
        <v>0</v>
      </c>
      <c r="H1236" s="4">
        <v>1</v>
      </c>
      <c r="I1236" s="4" t="s">
        <v>1</v>
      </c>
      <c r="K123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0.74424816801204496</v>
      </c>
    </row>
    <row r="1237" spans="1:11" x14ac:dyDescent="0.3">
      <c r="A1237" s="4">
        <v>28</v>
      </c>
      <c r="B1237" s="4">
        <v>300000</v>
      </c>
      <c r="C1237" s="4">
        <v>6</v>
      </c>
      <c r="D1237" s="4">
        <v>1</v>
      </c>
      <c r="E1237" s="4">
        <v>1</v>
      </c>
      <c r="F1237" s="4">
        <v>0</v>
      </c>
      <c r="G1237" s="4">
        <v>0</v>
      </c>
      <c r="H1237" s="4">
        <v>0</v>
      </c>
      <c r="I1237" s="4" t="s">
        <v>1</v>
      </c>
      <c r="K123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1.997068633448372E-2</v>
      </c>
    </row>
    <row r="1238" spans="1:11" x14ac:dyDescent="0.3">
      <c r="A1238" s="4">
        <v>32</v>
      </c>
      <c r="B1238" s="4">
        <v>800000</v>
      </c>
      <c r="C1238" s="4">
        <v>5</v>
      </c>
      <c r="D1238" s="4">
        <v>1</v>
      </c>
      <c r="E1238" s="4">
        <v>1</v>
      </c>
      <c r="F1238" s="4">
        <v>0</v>
      </c>
      <c r="G1238" s="4">
        <v>0</v>
      </c>
      <c r="H1238" s="4">
        <v>0</v>
      </c>
      <c r="I1238" s="4" t="s">
        <v>1</v>
      </c>
      <c r="K123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0.21026976136400349</v>
      </c>
    </row>
    <row r="1239" spans="1:11" x14ac:dyDescent="0.3">
      <c r="A1239" s="4">
        <v>31</v>
      </c>
      <c r="B1239" s="4">
        <v>300000</v>
      </c>
      <c r="C1239" s="4">
        <v>5</v>
      </c>
      <c r="D1239" s="4">
        <v>1</v>
      </c>
      <c r="E1239" s="4">
        <v>0</v>
      </c>
      <c r="F1239" s="4">
        <v>0</v>
      </c>
      <c r="G1239" s="4">
        <v>0</v>
      </c>
      <c r="H1239" s="4">
        <v>0</v>
      </c>
      <c r="I1239" s="4" t="s">
        <v>1</v>
      </c>
      <c r="K123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0.12442456275444685</v>
      </c>
    </row>
    <row r="1240" spans="1:11" x14ac:dyDescent="0.3">
      <c r="A1240" s="4">
        <v>34</v>
      </c>
      <c r="B1240" s="4">
        <v>500000</v>
      </c>
      <c r="C1240" s="4">
        <v>4</v>
      </c>
      <c r="D1240" s="4">
        <v>0</v>
      </c>
      <c r="E1240" s="4">
        <v>1</v>
      </c>
      <c r="F1240" s="4">
        <v>0</v>
      </c>
      <c r="G1240" s="4">
        <v>0</v>
      </c>
      <c r="H1240" s="4">
        <v>0</v>
      </c>
      <c r="I1240" s="4" t="s">
        <v>1</v>
      </c>
      <c r="K124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0.14924066657244955</v>
      </c>
    </row>
    <row r="1241" spans="1:11" x14ac:dyDescent="0.3">
      <c r="A1241" s="4">
        <v>26</v>
      </c>
      <c r="B1241" s="4">
        <v>750000</v>
      </c>
      <c r="C1241" s="4">
        <v>3</v>
      </c>
      <c r="D1241" s="4">
        <v>0</v>
      </c>
      <c r="E1241" s="4">
        <v>1</v>
      </c>
      <c r="F1241" s="4">
        <v>0</v>
      </c>
      <c r="G1241" s="4">
        <v>0</v>
      </c>
      <c r="H1241" s="4">
        <v>0</v>
      </c>
      <c r="I1241" s="4" t="s">
        <v>1</v>
      </c>
      <c r="K124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9.9494993602502982E-2</v>
      </c>
    </row>
    <row r="1242" spans="1:11" x14ac:dyDescent="0.3">
      <c r="A1242" s="4">
        <v>33</v>
      </c>
      <c r="B1242" s="4">
        <v>750000</v>
      </c>
      <c r="C1242" s="4">
        <v>3</v>
      </c>
      <c r="D1242" s="4">
        <v>0</v>
      </c>
      <c r="E1242" s="4">
        <v>1</v>
      </c>
      <c r="F1242" s="4">
        <v>1</v>
      </c>
      <c r="G1242" s="4">
        <v>0</v>
      </c>
      <c r="H1242" s="4">
        <v>0</v>
      </c>
      <c r="I1242" s="4" t="s">
        <v>1</v>
      </c>
      <c r="K124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0.20972565129038531</v>
      </c>
    </row>
    <row r="1243" spans="1:11" x14ac:dyDescent="0.3">
      <c r="A1243" s="4">
        <v>33</v>
      </c>
      <c r="B1243" s="4">
        <v>400000</v>
      </c>
      <c r="C1243" s="4">
        <v>5</v>
      </c>
      <c r="D1243" s="4">
        <v>1</v>
      </c>
      <c r="E1243" s="4">
        <v>1</v>
      </c>
      <c r="F1243" s="4">
        <v>0</v>
      </c>
      <c r="G1243" s="4">
        <v>0</v>
      </c>
      <c r="H1243" s="4">
        <v>0</v>
      </c>
      <c r="I1243" s="4" t="s">
        <v>1</v>
      </c>
      <c r="K124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0.10144814046027319</v>
      </c>
    </row>
    <row r="1244" spans="1:11" x14ac:dyDescent="0.3">
      <c r="A1244" s="4">
        <v>25</v>
      </c>
      <c r="B1244" s="4">
        <v>1400000</v>
      </c>
      <c r="C1244" s="4">
        <v>5</v>
      </c>
      <c r="D1244" s="4">
        <v>0</v>
      </c>
      <c r="E1244" s="4">
        <v>1</v>
      </c>
      <c r="F1244" s="4">
        <v>0</v>
      </c>
      <c r="G1244" s="4">
        <v>0</v>
      </c>
      <c r="H1244" s="4">
        <v>1</v>
      </c>
      <c r="I1244" s="4" t="s">
        <v>1</v>
      </c>
      <c r="K124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0.66976966128849647</v>
      </c>
    </row>
    <row r="1245" spans="1:11" x14ac:dyDescent="0.3">
      <c r="A1245" s="4">
        <v>34</v>
      </c>
      <c r="B1245" s="4">
        <v>1000000</v>
      </c>
      <c r="C1245" s="4">
        <v>4</v>
      </c>
      <c r="D1245" s="4">
        <v>0</v>
      </c>
      <c r="E1245" s="4">
        <v>1</v>
      </c>
      <c r="F1245" s="4">
        <v>0</v>
      </c>
      <c r="G1245" s="4">
        <v>0</v>
      </c>
      <c r="H1245" s="4">
        <v>0</v>
      </c>
      <c r="I1245" s="4" t="s">
        <v>1</v>
      </c>
      <c r="K124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0.30230048824019506</v>
      </c>
    </row>
    <row r="1246" spans="1:11" x14ac:dyDescent="0.3">
      <c r="A1246" s="4">
        <v>34</v>
      </c>
      <c r="B1246" s="4">
        <v>1500000</v>
      </c>
      <c r="C1246" s="4">
        <v>7</v>
      </c>
      <c r="D1246" s="4">
        <v>0</v>
      </c>
      <c r="E1246" s="4">
        <v>1</v>
      </c>
      <c r="F1246" s="4">
        <v>0</v>
      </c>
      <c r="G1246" s="4">
        <v>1</v>
      </c>
      <c r="H1246" s="4">
        <v>1</v>
      </c>
      <c r="I1246" s="4" t="s">
        <v>1</v>
      </c>
      <c r="K124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0.94873605742615086</v>
      </c>
    </row>
    <row r="1247" spans="1:11" x14ac:dyDescent="0.3">
      <c r="A1247" s="4">
        <v>28</v>
      </c>
      <c r="B1247" s="4">
        <v>600000</v>
      </c>
      <c r="C1247" s="4">
        <v>7</v>
      </c>
      <c r="D1247" s="4">
        <v>1</v>
      </c>
      <c r="E1247" s="4">
        <v>1</v>
      </c>
      <c r="F1247" s="4">
        <v>1</v>
      </c>
      <c r="G1247" s="4">
        <v>0</v>
      </c>
      <c r="H1247" s="4">
        <v>0</v>
      </c>
      <c r="I1247" s="4" t="s">
        <v>1</v>
      </c>
      <c r="K124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0.14391927436984078</v>
      </c>
    </row>
    <row r="1248" spans="1:11" x14ac:dyDescent="0.3">
      <c r="A1248" s="4">
        <v>31</v>
      </c>
      <c r="B1248" s="4">
        <v>1200000</v>
      </c>
      <c r="C1248" s="4">
        <v>7</v>
      </c>
      <c r="D1248" s="4">
        <v>1</v>
      </c>
      <c r="E1248" s="4">
        <v>1</v>
      </c>
      <c r="F1248" s="4">
        <v>0</v>
      </c>
      <c r="G1248" s="4">
        <v>0</v>
      </c>
      <c r="H1248" s="4">
        <v>0</v>
      </c>
      <c r="I1248" s="4" t="s">
        <v>1</v>
      </c>
      <c r="K124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0.35362276698791434</v>
      </c>
    </row>
    <row r="1249" spans="1:11" x14ac:dyDescent="0.3">
      <c r="A1249" s="4">
        <v>34</v>
      </c>
      <c r="B1249" s="4">
        <v>1300000</v>
      </c>
      <c r="C1249" s="4">
        <v>4</v>
      </c>
      <c r="D1249" s="4">
        <v>0</v>
      </c>
      <c r="E1249" s="4">
        <v>1</v>
      </c>
      <c r="F1249" s="4">
        <v>1</v>
      </c>
      <c r="G1249" s="4">
        <v>0</v>
      </c>
      <c r="H1249" s="4">
        <v>0</v>
      </c>
      <c r="I1249" s="4" t="s">
        <v>1</v>
      </c>
      <c r="K124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0.40898338391546185</v>
      </c>
    </row>
    <row r="1250" spans="1:11" x14ac:dyDescent="0.3">
      <c r="A1250" s="4">
        <v>35</v>
      </c>
      <c r="B1250" s="4">
        <v>800000</v>
      </c>
      <c r="C1250" s="4">
        <v>4</v>
      </c>
      <c r="D1250" s="4">
        <v>0</v>
      </c>
      <c r="E1250" s="4">
        <v>0</v>
      </c>
      <c r="F1250" s="4">
        <v>1</v>
      </c>
      <c r="G1250" s="4">
        <v>0</v>
      </c>
      <c r="H1250" s="4">
        <v>0</v>
      </c>
      <c r="I1250" s="4" t="s">
        <v>1</v>
      </c>
      <c r="K125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0.35039065816683757</v>
      </c>
    </row>
    <row r="1251" spans="1:11" x14ac:dyDescent="0.3">
      <c r="A1251" s="4">
        <v>28</v>
      </c>
      <c r="B1251" s="4">
        <v>550000</v>
      </c>
      <c r="C1251" s="4">
        <v>4</v>
      </c>
      <c r="D1251" s="4">
        <v>0</v>
      </c>
      <c r="E1251" s="4">
        <v>1</v>
      </c>
      <c r="F1251" s="4">
        <v>1</v>
      </c>
      <c r="G1251" s="4">
        <v>1</v>
      </c>
      <c r="H1251" s="4">
        <v>0</v>
      </c>
      <c r="I1251" s="4" t="s">
        <v>1</v>
      </c>
      <c r="K125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0.18882315204077638</v>
      </c>
    </row>
    <row r="1252" spans="1:11" x14ac:dyDescent="0.3">
      <c r="A1252" s="4">
        <v>25</v>
      </c>
      <c r="B1252" s="4">
        <v>1350000</v>
      </c>
      <c r="C1252" s="4">
        <v>3</v>
      </c>
      <c r="D1252" s="4">
        <v>0</v>
      </c>
      <c r="E1252" s="4">
        <v>0</v>
      </c>
      <c r="F1252" s="4">
        <v>1</v>
      </c>
      <c r="G1252" s="4">
        <v>1</v>
      </c>
      <c r="H1252" s="4">
        <v>1</v>
      </c>
      <c r="I1252" s="4" t="s">
        <v>1</v>
      </c>
      <c r="K125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0.80680707577454536</v>
      </c>
    </row>
    <row r="1253" spans="1:11" x14ac:dyDescent="0.3">
      <c r="A1253" s="4">
        <v>33</v>
      </c>
      <c r="B1253" s="4">
        <v>1000000</v>
      </c>
      <c r="C1253" s="4">
        <v>6</v>
      </c>
      <c r="D1253" s="4">
        <v>1</v>
      </c>
      <c r="E1253" s="4">
        <v>1</v>
      </c>
      <c r="F1253" s="4">
        <v>0</v>
      </c>
      <c r="G1253" s="4">
        <v>1</v>
      </c>
      <c r="H1253" s="4">
        <v>0</v>
      </c>
      <c r="I1253" s="4" t="s">
        <v>1</v>
      </c>
      <c r="K125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0.3935725380313877</v>
      </c>
    </row>
    <row r="1254" spans="1:11" x14ac:dyDescent="0.3">
      <c r="A1254" s="4">
        <v>33</v>
      </c>
      <c r="B1254" s="4">
        <v>1500000</v>
      </c>
      <c r="C1254" s="4">
        <v>7</v>
      </c>
      <c r="D1254" s="4">
        <v>0</v>
      </c>
      <c r="E1254" s="4">
        <v>1</v>
      </c>
      <c r="F1254" s="4">
        <v>0</v>
      </c>
      <c r="G1254" s="4">
        <v>1</v>
      </c>
      <c r="H1254" s="4">
        <v>1</v>
      </c>
      <c r="I1254" s="4" t="s">
        <v>1</v>
      </c>
      <c r="K125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0.93510982099568474</v>
      </c>
    </row>
    <row r="1255" spans="1:11" x14ac:dyDescent="0.3">
      <c r="A1255" s="4">
        <v>34</v>
      </c>
      <c r="B1255" s="4">
        <v>500000</v>
      </c>
      <c r="C1255" s="4">
        <v>5</v>
      </c>
      <c r="D1255" s="4">
        <v>0</v>
      </c>
      <c r="E1255" s="4">
        <v>1</v>
      </c>
      <c r="F1255" s="4">
        <v>0</v>
      </c>
      <c r="G1255" s="4">
        <v>1</v>
      </c>
      <c r="H1255" s="4">
        <v>1</v>
      </c>
      <c r="I1255" s="4" t="s">
        <v>1</v>
      </c>
      <c r="K125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0.60808502937047937</v>
      </c>
    </row>
    <row r="1256" spans="1:11" x14ac:dyDescent="0.3">
      <c r="A1256" s="4">
        <v>34</v>
      </c>
      <c r="B1256" s="4">
        <v>1400000</v>
      </c>
      <c r="C1256" s="4">
        <v>4</v>
      </c>
      <c r="D1256" s="4">
        <v>0</v>
      </c>
      <c r="E1256" s="4">
        <v>0</v>
      </c>
      <c r="F1256" s="4">
        <v>0</v>
      </c>
      <c r="G1256" s="4">
        <v>0</v>
      </c>
      <c r="H1256" s="4">
        <v>1</v>
      </c>
      <c r="I1256" s="4" t="s">
        <v>1</v>
      </c>
      <c r="K125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0.85598095629125637</v>
      </c>
    </row>
    <row r="1257" spans="1:11" x14ac:dyDescent="0.3">
      <c r="A1257" s="4">
        <v>27</v>
      </c>
      <c r="B1257" s="4">
        <v>450000</v>
      </c>
      <c r="C1257" s="4">
        <v>8</v>
      </c>
      <c r="D1257" s="4">
        <v>0</v>
      </c>
      <c r="E1257" s="4">
        <v>0</v>
      </c>
      <c r="F1257" s="4">
        <v>0</v>
      </c>
      <c r="G1257" s="4">
        <v>0</v>
      </c>
      <c r="H1257" s="4">
        <v>0</v>
      </c>
      <c r="I1257" s="4" t="s">
        <v>1</v>
      </c>
      <c r="K125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0.18845465832142833</v>
      </c>
    </row>
    <row r="1258" spans="1:11" x14ac:dyDescent="0.3">
      <c r="A1258" s="4">
        <v>25</v>
      </c>
      <c r="B1258" s="4">
        <v>1400000</v>
      </c>
      <c r="C1258" s="4">
        <v>5</v>
      </c>
      <c r="D1258" s="4">
        <v>0</v>
      </c>
      <c r="E1258" s="4">
        <v>1</v>
      </c>
      <c r="F1258" s="4">
        <v>0</v>
      </c>
      <c r="G1258" s="4">
        <v>1</v>
      </c>
      <c r="H1258" s="4">
        <v>1</v>
      </c>
      <c r="I1258" s="4" t="s">
        <v>1</v>
      </c>
      <c r="K125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0.76095658049822612</v>
      </c>
    </row>
    <row r="1259" spans="1:11" x14ac:dyDescent="0.3">
      <c r="A1259" s="4">
        <v>27</v>
      </c>
      <c r="B1259" s="4">
        <v>450000</v>
      </c>
      <c r="C1259" s="4">
        <v>3</v>
      </c>
      <c r="D1259" s="4">
        <v>0</v>
      </c>
      <c r="E1259" s="4">
        <v>0</v>
      </c>
      <c r="F1259" s="4">
        <v>0</v>
      </c>
      <c r="G1259" s="4">
        <v>0</v>
      </c>
      <c r="H1259" s="4">
        <v>0</v>
      </c>
      <c r="I1259" s="4" t="s">
        <v>1</v>
      </c>
      <c r="K125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0.10212619652097685</v>
      </c>
    </row>
    <row r="1260" spans="1:11" x14ac:dyDescent="0.3">
      <c r="A1260" s="4">
        <v>28</v>
      </c>
      <c r="B1260" s="4">
        <v>900000</v>
      </c>
      <c r="C1260" s="4">
        <v>5</v>
      </c>
      <c r="D1260" s="4">
        <v>0</v>
      </c>
      <c r="E1260" s="4">
        <v>1</v>
      </c>
      <c r="F1260" s="4">
        <v>0</v>
      </c>
      <c r="G1260" s="4">
        <v>0</v>
      </c>
      <c r="H1260" s="4">
        <v>0</v>
      </c>
      <c r="I1260" s="4" t="s">
        <v>1</v>
      </c>
      <c r="K126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0.2071967976839395</v>
      </c>
    </row>
    <row r="1261" spans="1:11" x14ac:dyDescent="0.3">
      <c r="A1261" s="4">
        <v>29</v>
      </c>
      <c r="B1261" s="4">
        <v>1050000</v>
      </c>
      <c r="C1261" s="4">
        <v>2</v>
      </c>
      <c r="D1261" s="4">
        <v>0</v>
      </c>
      <c r="E1261" s="4">
        <v>1</v>
      </c>
      <c r="F1261" s="4">
        <v>0</v>
      </c>
      <c r="G1261" s="4">
        <v>0</v>
      </c>
      <c r="H1261" s="4">
        <v>0</v>
      </c>
      <c r="I1261" s="4" t="s">
        <v>1</v>
      </c>
      <c r="K126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0.2149439035344583</v>
      </c>
    </row>
    <row r="1262" spans="1:11" x14ac:dyDescent="0.3">
      <c r="A1262" s="4">
        <v>34</v>
      </c>
      <c r="B1262" s="4">
        <v>1500000</v>
      </c>
      <c r="C1262" s="4">
        <v>4</v>
      </c>
      <c r="D1262" s="4">
        <v>0</v>
      </c>
      <c r="E1262" s="4">
        <v>1</v>
      </c>
      <c r="F1262" s="4">
        <v>1</v>
      </c>
      <c r="G1262" s="4">
        <v>1</v>
      </c>
      <c r="H1262" s="4">
        <v>1</v>
      </c>
      <c r="I1262" s="4" t="s">
        <v>1</v>
      </c>
      <c r="K126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0.9117859830204994</v>
      </c>
    </row>
    <row r="1263" spans="1:11" x14ac:dyDescent="0.3">
      <c r="A1263" s="4">
        <v>28</v>
      </c>
      <c r="B1263" s="4">
        <v>550000</v>
      </c>
      <c r="C1263" s="4">
        <v>4</v>
      </c>
      <c r="D1263" s="4">
        <v>0</v>
      </c>
      <c r="E1263" s="4">
        <v>0</v>
      </c>
      <c r="F1263" s="4">
        <v>1</v>
      </c>
      <c r="G1263" s="4">
        <v>0</v>
      </c>
      <c r="H1263" s="4">
        <v>1</v>
      </c>
      <c r="I1263" s="4" t="s">
        <v>1</v>
      </c>
      <c r="K126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0.52886884354791164</v>
      </c>
    </row>
    <row r="1264" spans="1:11" x14ac:dyDescent="0.3">
      <c r="A1264" s="4">
        <v>32</v>
      </c>
      <c r="B1264" s="4">
        <v>850000</v>
      </c>
      <c r="C1264" s="4">
        <v>7</v>
      </c>
      <c r="D1264" s="4">
        <v>1</v>
      </c>
      <c r="E1264" s="4">
        <v>1</v>
      </c>
      <c r="F1264" s="4">
        <v>0</v>
      </c>
      <c r="G1264" s="4">
        <v>1</v>
      </c>
      <c r="H1264" s="4">
        <v>1</v>
      </c>
      <c r="I1264" s="4" t="s">
        <v>1</v>
      </c>
      <c r="K126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0.70168579868889802</v>
      </c>
    </row>
    <row r="1265" spans="1:11" x14ac:dyDescent="0.3">
      <c r="A1265" s="4">
        <v>32</v>
      </c>
      <c r="B1265" s="4">
        <v>900000</v>
      </c>
      <c r="C1265" s="4">
        <v>2</v>
      </c>
      <c r="D1265" s="4">
        <v>1</v>
      </c>
      <c r="E1265" s="4">
        <v>1</v>
      </c>
      <c r="F1265" s="4">
        <v>0</v>
      </c>
      <c r="G1265" s="4">
        <v>1</v>
      </c>
      <c r="H1265" s="4">
        <v>0</v>
      </c>
      <c r="I1265" s="4" t="s">
        <v>1</v>
      </c>
      <c r="K126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0.28027156782701129</v>
      </c>
    </row>
    <row r="1266" spans="1:11" x14ac:dyDescent="0.3">
      <c r="A1266" s="4">
        <v>35</v>
      </c>
      <c r="B1266" s="4">
        <v>800000</v>
      </c>
      <c r="C1266" s="4">
        <v>6</v>
      </c>
      <c r="D1266" s="4">
        <v>0</v>
      </c>
      <c r="E1266" s="4">
        <v>0</v>
      </c>
      <c r="F1266" s="4">
        <v>0</v>
      </c>
      <c r="G1266" s="4">
        <v>1</v>
      </c>
      <c r="H1266" s="4">
        <v>0</v>
      </c>
      <c r="I1266" s="4" t="s">
        <v>1</v>
      </c>
      <c r="K126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0.46126195942212828</v>
      </c>
    </row>
    <row r="1267" spans="1:11" x14ac:dyDescent="0.3">
      <c r="A1267" s="4">
        <v>34</v>
      </c>
      <c r="B1267" s="4">
        <v>700000</v>
      </c>
      <c r="C1267" s="4">
        <v>6</v>
      </c>
      <c r="D1267" s="4">
        <v>0</v>
      </c>
      <c r="E1267" s="4">
        <v>1</v>
      </c>
      <c r="F1267" s="4">
        <v>0</v>
      </c>
      <c r="G1267" s="4">
        <v>0</v>
      </c>
      <c r="H1267" s="4">
        <v>0</v>
      </c>
      <c r="I1267" s="4" t="s">
        <v>1</v>
      </c>
      <c r="K126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0.24499597995972833</v>
      </c>
    </row>
    <row r="1268" spans="1:11" x14ac:dyDescent="0.3">
      <c r="A1268" s="4">
        <v>28</v>
      </c>
      <c r="B1268" s="4">
        <v>1250000</v>
      </c>
      <c r="C1268" s="4">
        <v>6</v>
      </c>
      <c r="D1268" s="4">
        <v>0</v>
      </c>
      <c r="E1268" s="4">
        <v>1</v>
      </c>
      <c r="F1268" s="4">
        <v>0</v>
      </c>
      <c r="G1268" s="4">
        <v>0</v>
      </c>
      <c r="H1268" s="4">
        <v>1</v>
      </c>
      <c r="I1268" s="4" t="s">
        <v>1</v>
      </c>
      <c r="K126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0.68199611643966151</v>
      </c>
    </row>
    <row r="1269" spans="1:11" x14ac:dyDescent="0.3">
      <c r="A1269" s="4">
        <v>27</v>
      </c>
      <c r="B1269" s="4">
        <v>600000</v>
      </c>
      <c r="C1269" s="4">
        <v>4</v>
      </c>
      <c r="D1269" s="4">
        <v>0</v>
      </c>
      <c r="E1269" s="4">
        <v>0</v>
      </c>
      <c r="F1269" s="4">
        <v>0</v>
      </c>
      <c r="G1269" s="4">
        <v>0</v>
      </c>
      <c r="H1269" s="4">
        <v>0</v>
      </c>
      <c r="I1269" s="4" t="s">
        <v>1</v>
      </c>
      <c r="K126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0.16530983538139077</v>
      </c>
    </row>
    <row r="1270" spans="1:11" x14ac:dyDescent="0.3">
      <c r="A1270" s="4">
        <v>31</v>
      </c>
      <c r="B1270" s="4">
        <v>1500000</v>
      </c>
      <c r="C1270" s="4">
        <v>4</v>
      </c>
      <c r="D1270" s="4">
        <v>1</v>
      </c>
      <c r="E1270" s="4">
        <v>1</v>
      </c>
      <c r="F1270" s="4">
        <v>0</v>
      </c>
      <c r="G1270" s="4">
        <v>1</v>
      </c>
      <c r="H1270" s="4">
        <v>1</v>
      </c>
      <c r="I1270" s="4" t="s">
        <v>1</v>
      </c>
      <c r="K127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0.8352402533462302</v>
      </c>
    </row>
    <row r="1271" spans="1:11" x14ac:dyDescent="0.3">
      <c r="A1271" s="4">
        <v>34</v>
      </c>
      <c r="B1271" s="4">
        <v>1300000</v>
      </c>
      <c r="C1271" s="4">
        <v>7</v>
      </c>
      <c r="D1271" s="4">
        <v>1</v>
      </c>
      <c r="E1271" s="4">
        <v>1</v>
      </c>
      <c r="F1271" s="4">
        <v>0</v>
      </c>
      <c r="G1271" s="4">
        <v>0</v>
      </c>
      <c r="H1271" s="4">
        <v>0</v>
      </c>
      <c r="I1271" s="4" t="s">
        <v>1</v>
      </c>
      <c r="K127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0.42511344061286194</v>
      </c>
    </row>
    <row r="1272" spans="1:11" x14ac:dyDescent="0.3">
      <c r="A1272" s="4">
        <v>30</v>
      </c>
      <c r="B1272" s="4">
        <v>550000</v>
      </c>
      <c r="C1272" s="4">
        <v>6</v>
      </c>
      <c r="D1272" s="4">
        <v>0</v>
      </c>
      <c r="E1272" s="4">
        <v>0</v>
      </c>
      <c r="F1272" s="4">
        <v>1</v>
      </c>
      <c r="G1272" s="4">
        <v>0</v>
      </c>
      <c r="H1272" s="4">
        <v>0</v>
      </c>
      <c r="I1272" s="4" t="s">
        <v>1</v>
      </c>
      <c r="K127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0.24026094990081467</v>
      </c>
    </row>
    <row r="1273" spans="1:11" x14ac:dyDescent="0.3">
      <c r="A1273" s="4">
        <v>33</v>
      </c>
      <c r="B1273" s="4">
        <v>1750000</v>
      </c>
      <c r="C1273" s="4">
        <v>4</v>
      </c>
      <c r="D1273" s="4">
        <v>1</v>
      </c>
      <c r="E1273" s="4">
        <v>1</v>
      </c>
      <c r="F1273" s="4">
        <v>0</v>
      </c>
      <c r="G1273" s="4">
        <v>0</v>
      </c>
      <c r="H1273" s="4">
        <v>0</v>
      </c>
      <c r="I1273" s="4" t="s">
        <v>1</v>
      </c>
      <c r="K127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0.49744396660309576</v>
      </c>
    </row>
    <row r="1274" spans="1:11" x14ac:dyDescent="0.3">
      <c r="A1274" s="4">
        <v>32</v>
      </c>
      <c r="B1274" s="4">
        <v>350000</v>
      </c>
      <c r="C1274" s="4">
        <v>3</v>
      </c>
      <c r="D1274" s="4">
        <v>1</v>
      </c>
      <c r="E1274" s="4">
        <v>1</v>
      </c>
      <c r="F1274" s="4">
        <v>1</v>
      </c>
      <c r="G1274" s="4">
        <v>0</v>
      </c>
      <c r="H1274" s="4">
        <v>1</v>
      </c>
      <c r="I1274" s="4" t="s">
        <v>1</v>
      </c>
      <c r="K127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0.40322329104568122</v>
      </c>
    </row>
    <row r="1275" spans="1:11" x14ac:dyDescent="0.3">
      <c r="A1275" s="4">
        <v>31</v>
      </c>
      <c r="B1275" s="4">
        <v>1250000</v>
      </c>
      <c r="C1275" s="4">
        <v>7</v>
      </c>
      <c r="D1275" s="4">
        <v>0</v>
      </c>
      <c r="E1275" s="4">
        <v>1</v>
      </c>
      <c r="F1275" s="4">
        <v>0</v>
      </c>
      <c r="G1275" s="4">
        <v>0</v>
      </c>
      <c r="H1275" s="4">
        <v>0</v>
      </c>
      <c r="I1275" s="4" t="s">
        <v>1</v>
      </c>
      <c r="K127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0.38974876686294035</v>
      </c>
    </row>
    <row r="1276" spans="1:11" x14ac:dyDescent="0.3">
      <c r="A1276" s="4">
        <v>31</v>
      </c>
      <c r="B1276" s="4">
        <v>1300000</v>
      </c>
      <c r="C1276" s="4">
        <v>3</v>
      </c>
      <c r="D1276" s="4">
        <v>1</v>
      </c>
      <c r="E1276" s="4">
        <v>1</v>
      </c>
      <c r="F1276" s="4">
        <v>1</v>
      </c>
      <c r="G1276" s="4">
        <v>0</v>
      </c>
      <c r="H1276" s="4">
        <v>0</v>
      </c>
      <c r="I1276" s="4" t="s">
        <v>1</v>
      </c>
      <c r="K127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0.33001896455572172</v>
      </c>
    </row>
    <row r="1277" spans="1:11" x14ac:dyDescent="0.3">
      <c r="A1277" s="4">
        <v>28</v>
      </c>
      <c r="B1277" s="4">
        <v>550000</v>
      </c>
      <c r="C1277" s="4">
        <v>6</v>
      </c>
      <c r="D1277" s="4">
        <v>0</v>
      </c>
      <c r="E1277" s="4">
        <v>0</v>
      </c>
      <c r="F1277" s="4">
        <v>0</v>
      </c>
      <c r="G1277" s="4">
        <v>0</v>
      </c>
      <c r="H1277" s="4">
        <v>0</v>
      </c>
      <c r="I1277" s="4" t="s">
        <v>1</v>
      </c>
      <c r="K127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0.19816147436526294</v>
      </c>
    </row>
    <row r="1278" spans="1:11" x14ac:dyDescent="0.3">
      <c r="A1278" s="4">
        <v>28</v>
      </c>
      <c r="B1278" s="4">
        <v>300000</v>
      </c>
      <c r="C1278" s="4">
        <v>6</v>
      </c>
      <c r="D1278" s="4">
        <v>1</v>
      </c>
      <c r="E1278" s="4">
        <v>1</v>
      </c>
      <c r="F1278" s="4">
        <v>0</v>
      </c>
      <c r="G1278" s="4">
        <v>0</v>
      </c>
      <c r="H1278" s="4">
        <v>0</v>
      </c>
      <c r="I1278" s="4" t="s">
        <v>1</v>
      </c>
      <c r="K127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1.997068633448372E-2</v>
      </c>
    </row>
    <row r="1279" spans="1:11" x14ac:dyDescent="0.3">
      <c r="A1279" s="4">
        <v>26</v>
      </c>
      <c r="B1279" s="4">
        <v>500000</v>
      </c>
      <c r="C1279" s="4">
        <v>3</v>
      </c>
      <c r="D1279" s="4">
        <v>1</v>
      </c>
      <c r="E1279" s="4">
        <v>1</v>
      </c>
      <c r="F1279" s="4">
        <v>0</v>
      </c>
      <c r="G1279" s="4">
        <v>0</v>
      </c>
      <c r="H1279" s="4">
        <v>0</v>
      </c>
      <c r="I1279" s="4" t="s">
        <v>1</v>
      </c>
      <c r="K127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2.1450650603788007E-3</v>
      </c>
    </row>
    <row r="1280" spans="1:11" x14ac:dyDescent="0.3">
      <c r="A1280" s="4">
        <v>25</v>
      </c>
      <c r="B1280" s="4">
        <v>1150000</v>
      </c>
      <c r="C1280" s="4">
        <v>7</v>
      </c>
      <c r="D1280" s="4">
        <v>0</v>
      </c>
      <c r="E1280" s="4">
        <v>0</v>
      </c>
      <c r="F1280" s="4">
        <v>0</v>
      </c>
      <c r="G1280" s="4">
        <v>0</v>
      </c>
      <c r="H1280" s="4">
        <v>0</v>
      </c>
      <c r="I1280" s="4" t="s">
        <v>1</v>
      </c>
      <c r="K128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0.35822024343524944</v>
      </c>
    </row>
    <row r="1281" spans="1:11" x14ac:dyDescent="0.3">
      <c r="A1281" s="4">
        <v>33</v>
      </c>
      <c r="B1281" s="4">
        <v>1100000</v>
      </c>
      <c r="C1281" s="4">
        <v>4</v>
      </c>
      <c r="D1281" s="4">
        <v>1</v>
      </c>
      <c r="E1281" s="4">
        <v>1</v>
      </c>
      <c r="F1281" s="4">
        <v>0</v>
      </c>
      <c r="G1281" s="4">
        <v>0</v>
      </c>
      <c r="H1281" s="4">
        <v>0</v>
      </c>
      <c r="I1281" s="4" t="s">
        <v>1</v>
      </c>
      <c r="K128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0.29846619843502659</v>
      </c>
    </row>
    <row r="1282" spans="1:11" x14ac:dyDescent="0.3">
      <c r="A1282" s="4">
        <v>28</v>
      </c>
      <c r="B1282" s="4">
        <v>1100000</v>
      </c>
      <c r="C1282" s="4">
        <v>4</v>
      </c>
      <c r="D1282" s="4">
        <v>1</v>
      </c>
      <c r="E1282" s="4">
        <v>1</v>
      </c>
      <c r="F1282" s="4">
        <v>0</v>
      </c>
      <c r="G1282" s="4">
        <v>0</v>
      </c>
      <c r="H1282" s="4">
        <v>0</v>
      </c>
      <c r="I1282" s="4" t="s">
        <v>1</v>
      </c>
      <c r="K128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0.23033501628269598</v>
      </c>
    </row>
    <row r="1283" spans="1:11" x14ac:dyDescent="0.3">
      <c r="A1283" s="4">
        <v>30</v>
      </c>
      <c r="B1283" s="4">
        <v>550000</v>
      </c>
      <c r="C1283" s="4">
        <v>3</v>
      </c>
      <c r="D1283" s="4">
        <v>0</v>
      </c>
      <c r="E1283" s="4">
        <v>0</v>
      </c>
      <c r="F1283" s="4">
        <v>0</v>
      </c>
      <c r="G1283" s="4">
        <v>0</v>
      </c>
      <c r="H1283" s="4">
        <v>0</v>
      </c>
      <c r="I1283" s="4" t="s">
        <v>1</v>
      </c>
      <c r="K128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0.17361687014592436</v>
      </c>
    </row>
    <row r="1284" spans="1:11" x14ac:dyDescent="0.3">
      <c r="A1284" s="4">
        <v>34</v>
      </c>
      <c r="B1284" s="4">
        <v>700000</v>
      </c>
      <c r="C1284" s="4">
        <v>3</v>
      </c>
      <c r="D1284" s="4">
        <v>0</v>
      </c>
      <c r="E1284" s="4">
        <v>1</v>
      </c>
      <c r="F1284" s="4">
        <v>0</v>
      </c>
      <c r="G1284" s="4">
        <v>1</v>
      </c>
      <c r="H1284" s="4">
        <v>0</v>
      </c>
      <c r="I1284" s="4" t="s">
        <v>1</v>
      </c>
      <c r="K128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0.28438582208918706</v>
      </c>
    </row>
    <row r="1285" spans="1:11" x14ac:dyDescent="0.3">
      <c r="A1285" s="4">
        <v>34</v>
      </c>
      <c r="B1285" s="4">
        <v>700000</v>
      </c>
      <c r="C1285" s="4">
        <v>3</v>
      </c>
      <c r="D1285" s="4">
        <v>0</v>
      </c>
      <c r="E1285" s="4">
        <v>1</v>
      </c>
      <c r="F1285" s="4">
        <v>1</v>
      </c>
      <c r="G1285" s="4">
        <v>0</v>
      </c>
      <c r="H1285" s="4">
        <v>0</v>
      </c>
      <c r="I1285" s="4" t="s">
        <v>1</v>
      </c>
      <c r="K128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0.2080459055540769</v>
      </c>
    </row>
    <row r="1286" spans="1:11" x14ac:dyDescent="0.3">
      <c r="A1286" s="4">
        <v>28</v>
      </c>
      <c r="B1286" s="4">
        <v>300000</v>
      </c>
      <c r="C1286" s="4">
        <v>5</v>
      </c>
      <c r="D1286" s="4">
        <v>1</v>
      </c>
      <c r="E1286" s="4">
        <v>1</v>
      </c>
      <c r="F1286" s="4">
        <v>1</v>
      </c>
      <c r="G1286" s="4">
        <v>0</v>
      </c>
      <c r="H1286" s="4">
        <v>0</v>
      </c>
      <c r="I1286" s="4" t="s">
        <v>1</v>
      </c>
      <c r="K128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1.7551996649012865E-2</v>
      </c>
    </row>
    <row r="1287" spans="1:11" x14ac:dyDescent="0.3">
      <c r="A1287" s="4">
        <v>31</v>
      </c>
      <c r="B1287" s="4">
        <v>500000</v>
      </c>
      <c r="C1287" s="4">
        <v>4</v>
      </c>
      <c r="D1287" s="4">
        <v>0</v>
      </c>
      <c r="E1287" s="4">
        <v>1</v>
      </c>
      <c r="F1287" s="4">
        <v>1</v>
      </c>
      <c r="G1287" s="4">
        <v>0</v>
      </c>
      <c r="H1287" s="4">
        <v>0</v>
      </c>
      <c r="I1287" s="4" t="s">
        <v>1</v>
      </c>
      <c r="K128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0.12320895995567063</v>
      </c>
    </row>
    <row r="1288" spans="1:11" x14ac:dyDescent="0.3">
      <c r="A1288" s="4">
        <v>29</v>
      </c>
      <c r="B1288" s="4">
        <v>500000</v>
      </c>
      <c r="C1288" s="4">
        <v>4</v>
      </c>
      <c r="D1288" s="4">
        <v>0</v>
      </c>
      <c r="E1288" s="4">
        <v>1</v>
      </c>
      <c r="F1288" s="4">
        <v>0</v>
      </c>
      <c r="G1288" s="4">
        <v>0</v>
      </c>
      <c r="H1288" s="4">
        <v>0</v>
      </c>
      <c r="I1288" s="4" t="s">
        <v>1</v>
      </c>
      <c r="K128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8.110948442011888E-2</v>
      </c>
    </row>
    <row r="1289" spans="1:11" x14ac:dyDescent="0.3">
      <c r="A1289" s="4">
        <v>31</v>
      </c>
      <c r="B1289" s="4">
        <v>950000</v>
      </c>
      <c r="C1289" s="4">
        <v>5</v>
      </c>
      <c r="D1289" s="4">
        <v>0</v>
      </c>
      <c r="E1289" s="4">
        <v>1</v>
      </c>
      <c r="F1289" s="4">
        <v>0</v>
      </c>
      <c r="G1289" s="4">
        <v>0</v>
      </c>
      <c r="H1289" s="4">
        <v>0</v>
      </c>
      <c r="I1289" s="4" t="s">
        <v>1</v>
      </c>
      <c r="K128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0.26338148914211246</v>
      </c>
    </row>
    <row r="1290" spans="1:11" x14ac:dyDescent="0.3">
      <c r="A1290" s="4">
        <v>28</v>
      </c>
      <c r="B1290" s="4">
        <v>800000</v>
      </c>
      <c r="C1290" s="4">
        <v>5</v>
      </c>
      <c r="D1290" s="4">
        <v>0</v>
      </c>
      <c r="E1290" s="4">
        <v>1</v>
      </c>
      <c r="F1290" s="4">
        <v>1</v>
      </c>
      <c r="G1290" s="4">
        <v>0</v>
      </c>
      <c r="H1290" s="4">
        <v>0</v>
      </c>
      <c r="I1290" s="4" t="s">
        <v>1</v>
      </c>
      <c r="K129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0.19143183602500977</v>
      </c>
    </row>
    <row r="1291" spans="1:11" x14ac:dyDescent="0.3">
      <c r="A1291" s="4">
        <v>31</v>
      </c>
      <c r="B1291" s="4">
        <v>1350000</v>
      </c>
      <c r="C1291" s="4">
        <v>3</v>
      </c>
      <c r="D1291" s="4">
        <v>0</v>
      </c>
      <c r="E1291" s="4">
        <v>1</v>
      </c>
      <c r="F1291" s="4">
        <v>0</v>
      </c>
      <c r="G1291" s="4">
        <v>0</v>
      </c>
      <c r="H1291" s="4">
        <v>1</v>
      </c>
      <c r="I1291" s="4" t="s">
        <v>1</v>
      </c>
      <c r="K129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0.70168971298433802</v>
      </c>
    </row>
    <row r="1292" spans="1:11" x14ac:dyDescent="0.3">
      <c r="A1292" s="4">
        <v>28</v>
      </c>
      <c r="B1292" s="4">
        <v>1200000</v>
      </c>
      <c r="C1292" s="4">
        <v>6</v>
      </c>
      <c r="D1292" s="4">
        <v>0</v>
      </c>
      <c r="E1292" s="4">
        <v>1</v>
      </c>
      <c r="F1292" s="4">
        <v>0</v>
      </c>
      <c r="G1292" s="4">
        <v>1</v>
      </c>
      <c r="H1292" s="4">
        <v>0</v>
      </c>
      <c r="I1292" s="4" t="s">
        <v>1</v>
      </c>
      <c r="K129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0.40748530225440666</v>
      </c>
    </row>
    <row r="1293" spans="1:11" x14ac:dyDescent="0.3">
      <c r="A1293" s="4">
        <v>26</v>
      </c>
      <c r="B1293" s="4">
        <v>1400000</v>
      </c>
      <c r="C1293" s="4">
        <v>9</v>
      </c>
      <c r="D1293" s="4">
        <v>0</v>
      </c>
      <c r="E1293" s="4">
        <v>1</v>
      </c>
      <c r="F1293" s="4">
        <v>0</v>
      </c>
      <c r="G1293" s="4">
        <v>0</v>
      </c>
      <c r="H1293" s="4">
        <v>1</v>
      </c>
      <c r="I1293" s="4" t="s">
        <v>1</v>
      </c>
      <c r="K129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0.75245866715932386</v>
      </c>
    </row>
    <row r="1294" spans="1:11" x14ac:dyDescent="0.3">
      <c r="A1294" s="4">
        <v>32</v>
      </c>
      <c r="B1294" s="4">
        <v>900000</v>
      </c>
      <c r="C1294" s="4">
        <v>6</v>
      </c>
      <c r="D1294" s="4">
        <v>1</v>
      </c>
      <c r="E1294" s="4">
        <v>1</v>
      </c>
      <c r="F1294" s="4">
        <v>0</v>
      </c>
      <c r="G1294" s="4">
        <v>0</v>
      </c>
      <c r="H1294" s="4">
        <v>0</v>
      </c>
      <c r="I1294" s="4" t="s">
        <v>1</v>
      </c>
      <c r="K129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0.25814741805764291</v>
      </c>
    </row>
    <row r="1295" spans="1:11" x14ac:dyDescent="0.3">
      <c r="A1295" s="4">
        <v>25</v>
      </c>
      <c r="B1295" s="4">
        <v>1350000</v>
      </c>
      <c r="C1295" s="4">
        <v>6</v>
      </c>
      <c r="D1295" s="4">
        <v>0</v>
      </c>
      <c r="E1295" s="4">
        <v>0</v>
      </c>
      <c r="F1295" s="4">
        <v>0</v>
      </c>
      <c r="G1295" s="4">
        <v>0</v>
      </c>
      <c r="H1295" s="4">
        <v>1</v>
      </c>
      <c r="I1295" s="4" t="s">
        <v>1</v>
      </c>
      <c r="K1295"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0.75257023097046716</v>
      </c>
    </row>
    <row r="1296" spans="1:11" x14ac:dyDescent="0.3">
      <c r="A1296" s="4">
        <v>34</v>
      </c>
      <c r="B1296" s="4">
        <v>700000</v>
      </c>
      <c r="C1296" s="4">
        <v>5</v>
      </c>
      <c r="D1296" s="4">
        <v>0</v>
      </c>
      <c r="E1296" s="4">
        <v>1</v>
      </c>
      <c r="F1296" s="4">
        <v>0</v>
      </c>
      <c r="G1296" s="4">
        <v>0</v>
      </c>
      <c r="H1296" s="4">
        <v>0</v>
      </c>
      <c r="I1296" s="4" t="s">
        <v>1</v>
      </c>
      <c r="K1296"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0.22773028759963804</v>
      </c>
    </row>
    <row r="1297" spans="1:11" x14ac:dyDescent="0.3">
      <c r="A1297" s="4">
        <v>28</v>
      </c>
      <c r="B1297" s="4">
        <v>1100000</v>
      </c>
      <c r="C1297" s="4">
        <v>4</v>
      </c>
      <c r="D1297" s="4">
        <v>0</v>
      </c>
      <c r="E1297" s="4">
        <v>1</v>
      </c>
      <c r="F1297" s="4">
        <v>1</v>
      </c>
      <c r="G1297" s="4">
        <v>0</v>
      </c>
      <c r="H1297" s="4">
        <v>0</v>
      </c>
      <c r="I1297" s="4" t="s">
        <v>1</v>
      </c>
      <c r="K1297"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0.26600203666556688</v>
      </c>
    </row>
    <row r="1298" spans="1:11" x14ac:dyDescent="0.3">
      <c r="A1298" s="4">
        <v>25</v>
      </c>
      <c r="B1298" s="4">
        <v>1150000</v>
      </c>
      <c r="C1298" s="4">
        <v>5</v>
      </c>
      <c r="D1298" s="4">
        <v>0</v>
      </c>
      <c r="E1298" s="4">
        <v>0</v>
      </c>
      <c r="F1298" s="4">
        <v>1</v>
      </c>
      <c r="G1298" s="4">
        <v>0</v>
      </c>
      <c r="H1298" s="4">
        <v>0</v>
      </c>
      <c r="I1298" s="4" t="s">
        <v>1</v>
      </c>
      <c r="K1298"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0.33853586138968828</v>
      </c>
    </row>
    <row r="1299" spans="1:11" x14ac:dyDescent="0.3">
      <c r="A1299" s="4">
        <v>27</v>
      </c>
      <c r="B1299" s="4">
        <v>850000</v>
      </c>
      <c r="C1299" s="4">
        <v>3</v>
      </c>
      <c r="D1299" s="4">
        <v>1</v>
      </c>
      <c r="E1299" s="4">
        <v>1</v>
      </c>
      <c r="F1299" s="4">
        <v>0</v>
      </c>
      <c r="G1299" s="4">
        <v>0</v>
      </c>
      <c r="H1299" s="4">
        <v>0</v>
      </c>
      <c r="I1299" s="4" t="s">
        <v>1</v>
      </c>
      <c r="K1299"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0.12291317665826677</v>
      </c>
    </row>
    <row r="1300" spans="1:11" x14ac:dyDescent="0.3">
      <c r="A1300" s="4">
        <v>33</v>
      </c>
      <c r="B1300" s="4">
        <v>1500000</v>
      </c>
      <c r="C1300" s="4">
        <v>4</v>
      </c>
      <c r="D1300" s="4">
        <v>0</v>
      </c>
      <c r="E1300" s="4">
        <v>1</v>
      </c>
      <c r="F1300" s="4">
        <v>0</v>
      </c>
      <c r="G1300" s="4">
        <v>1</v>
      </c>
      <c r="H1300" s="4">
        <v>1</v>
      </c>
      <c r="I1300" s="4" t="s">
        <v>1</v>
      </c>
      <c r="K1300"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0.88331274391541381</v>
      </c>
    </row>
    <row r="1301" spans="1:11" x14ac:dyDescent="0.3">
      <c r="A1301" s="4">
        <v>28</v>
      </c>
      <c r="B1301" s="4">
        <v>1750000</v>
      </c>
      <c r="C1301" s="4">
        <v>5</v>
      </c>
      <c r="D1301" s="4">
        <v>0</v>
      </c>
      <c r="E1301" s="4">
        <v>1</v>
      </c>
      <c r="F1301" s="4">
        <v>1</v>
      </c>
      <c r="G1301" s="4">
        <v>0</v>
      </c>
      <c r="H1301" s="4">
        <v>1</v>
      </c>
      <c r="I1301" s="4" t="s">
        <v>1</v>
      </c>
      <c r="K1301"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0.8326372484219362</v>
      </c>
    </row>
    <row r="1302" spans="1:11" x14ac:dyDescent="0.3">
      <c r="A1302" s="4">
        <v>28</v>
      </c>
      <c r="B1302" s="4">
        <v>1150000</v>
      </c>
      <c r="C1302" s="4">
        <v>6</v>
      </c>
      <c r="D1302" s="4">
        <v>0</v>
      </c>
      <c r="E1302" s="4">
        <v>1</v>
      </c>
      <c r="F1302" s="4">
        <v>1</v>
      </c>
      <c r="G1302" s="4">
        <v>0</v>
      </c>
      <c r="H1302" s="4">
        <v>0</v>
      </c>
      <c r="I1302" s="4" t="s">
        <v>1</v>
      </c>
      <c r="K1302"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0.31583940355252199</v>
      </c>
    </row>
    <row r="1303" spans="1:11" x14ac:dyDescent="0.3">
      <c r="A1303" s="4">
        <v>34</v>
      </c>
      <c r="B1303" s="4">
        <v>1000000</v>
      </c>
      <c r="C1303" s="4">
        <v>6</v>
      </c>
      <c r="D1303" s="4">
        <v>0</v>
      </c>
      <c r="E1303" s="4">
        <v>1</v>
      </c>
      <c r="F1303" s="4">
        <v>0</v>
      </c>
      <c r="G1303" s="4">
        <v>1</v>
      </c>
      <c r="H1303" s="4">
        <v>1</v>
      </c>
      <c r="I1303" s="4" t="s">
        <v>1</v>
      </c>
      <c r="K1303"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0.77841054339831506</v>
      </c>
    </row>
    <row r="1304" spans="1:11" x14ac:dyDescent="0.3">
      <c r="A1304" s="4">
        <v>34</v>
      </c>
      <c r="B1304" s="4">
        <v>500000</v>
      </c>
      <c r="C1304" s="4">
        <v>4</v>
      </c>
      <c r="D1304" s="4">
        <v>0</v>
      </c>
      <c r="E1304" s="4">
        <v>1</v>
      </c>
      <c r="F1304" s="4">
        <v>0</v>
      </c>
      <c r="G1304" s="4">
        <v>0</v>
      </c>
      <c r="H1304" s="4">
        <v>0</v>
      </c>
      <c r="I1304" s="4" t="s">
        <v>1</v>
      </c>
      <c r="K1304" s="4">
        <f>$N$2+Newclients__2[[#This Row],[Age]]*$N$3+Newclients__2[[#This Row],[AnnualIncome]]*$N$4+Newclients__2[[#This Row],[FamilyMembers]]*$N$5+Newclients__2[[#This Row],[Government Sector Worker]]*$N$6+Newclients__2[[#This Row],[GraduateOrNot]]*$N$7+Newclients__2[[#This Row],[ChronicDiseases]]*$N$8+Newclients__2[[#This Row],[FrequentFlyer]]*$N$9+Newclients__2[[#This Row],[EverTravelledAbroad]]*$N$10</f>
        <v>0.14924066657244955</v>
      </c>
    </row>
  </sheetData>
  <conditionalFormatting sqref="K2:K1304">
    <cfRule type="colorScale" priority="1">
      <colorScale>
        <cfvo type="min"/>
        <cfvo type="percentile" val="50"/>
        <cfvo type="max"/>
        <color rgb="FFFF0000"/>
        <color rgb="FFFFEB84"/>
        <color rgb="FF00B050"/>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D9E11-5F6A-4FC3-8047-E495E3D4E0A3}">
  <dimension ref="A1:P32"/>
  <sheetViews>
    <sheetView workbookViewId="0">
      <selection activeCell="H28" sqref="H28"/>
    </sheetView>
  </sheetViews>
  <sheetFormatPr defaultRowHeight="14.4" x14ac:dyDescent="0.3"/>
  <cols>
    <col min="1" max="1" width="14.33203125" customWidth="1"/>
    <col min="2" max="2" width="17.88671875" customWidth="1"/>
    <col min="3" max="3" width="23.109375" customWidth="1"/>
    <col min="4" max="5" width="19.21875" customWidth="1"/>
    <col min="6" max="6" width="25.77734375" customWidth="1"/>
    <col min="7" max="7" width="19.33203125" customWidth="1"/>
    <col min="8" max="8" width="20.44140625" customWidth="1"/>
    <col min="9" max="9" width="20.109375" customWidth="1"/>
    <col min="10" max="10" width="16.44140625" customWidth="1"/>
  </cols>
  <sheetData>
    <row r="1" spans="1:8" x14ac:dyDescent="0.3">
      <c r="A1" s="3" t="s">
        <v>2</v>
      </c>
      <c r="B1" s="3" t="s">
        <v>28</v>
      </c>
      <c r="C1" s="3" t="s">
        <v>25</v>
      </c>
      <c r="D1" s="3" t="s">
        <v>5</v>
      </c>
      <c r="E1" s="3" t="s">
        <v>29</v>
      </c>
      <c r="F1" s="3" t="s">
        <v>31</v>
      </c>
      <c r="G1" s="3" t="s">
        <v>6</v>
      </c>
      <c r="H1" s="3" t="s">
        <v>30</v>
      </c>
    </row>
    <row r="3" spans="1:8" x14ac:dyDescent="0.3">
      <c r="A3" t="s">
        <v>12</v>
      </c>
      <c r="B3">
        <v>29.640762463343108</v>
      </c>
      <c r="D3" t="s">
        <v>12</v>
      </c>
      <c r="E3">
        <v>947800.58651026397</v>
      </c>
      <c r="G3" t="s">
        <v>12</v>
      </c>
      <c r="H3">
        <v>4.8357771260997069</v>
      </c>
    </row>
    <row r="4" spans="1:8" x14ac:dyDescent="0.3">
      <c r="A4" t="s">
        <v>13</v>
      </c>
      <c r="B4">
        <v>0.11108334805687785</v>
      </c>
      <c r="D4" t="s">
        <v>13</v>
      </c>
      <c r="E4">
        <v>14221.334446178498</v>
      </c>
      <c r="G4" t="s">
        <v>13</v>
      </c>
      <c r="H4">
        <v>6.2143814343967305E-2</v>
      </c>
    </row>
    <row r="5" spans="1:8" x14ac:dyDescent="0.3">
      <c r="A5" t="s">
        <v>14</v>
      </c>
      <c r="B5">
        <v>29</v>
      </c>
      <c r="D5" t="s">
        <v>14</v>
      </c>
      <c r="E5">
        <v>950000</v>
      </c>
      <c r="G5" t="s">
        <v>14</v>
      </c>
      <c r="H5">
        <v>5</v>
      </c>
    </row>
    <row r="6" spans="1:8" x14ac:dyDescent="0.3">
      <c r="A6" t="s">
        <v>15</v>
      </c>
      <c r="B6">
        <v>28</v>
      </c>
      <c r="D6" t="s">
        <v>15</v>
      </c>
      <c r="E6">
        <v>800000</v>
      </c>
      <c r="G6" t="s">
        <v>15</v>
      </c>
      <c r="H6">
        <v>4</v>
      </c>
    </row>
    <row r="7" spans="1:8" x14ac:dyDescent="0.3">
      <c r="A7" t="s">
        <v>16</v>
      </c>
      <c r="B7">
        <v>2.9009560436153405</v>
      </c>
      <c r="D7" t="s">
        <v>16</v>
      </c>
      <c r="E7">
        <v>371391.99377383332</v>
      </c>
      <c r="G7" t="s">
        <v>16</v>
      </c>
      <c r="H7">
        <v>1.6228937725403716</v>
      </c>
    </row>
    <row r="8" spans="1:8" x14ac:dyDescent="0.3">
      <c r="A8" t="s">
        <v>17</v>
      </c>
      <c r="B8">
        <v>8.4155459669883683</v>
      </c>
      <c r="D8" t="s">
        <v>17</v>
      </c>
      <c r="E8">
        <v>137932013039.30304</v>
      </c>
      <c r="G8" t="s">
        <v>17</v>
      </c>
      <c r="H8">
        <v>2.6337841969503195</v>
      </c>
    </row>
    <row r="9" spans="1:8" x14ac:dyDescent="0.3">
      <c r="A9" t="s">
        <v>18</v>
      </c>
      <c r="B9">
        <v>-1.0789583308316666</v>
      </c>
      <c r="D9" t="s">
        <v>18</v>
      </c>
      <c r="E9">
        <v>-0.96690353827352649</v>
      </c>
      <c r="G9" t="s">
        <v>18</v>
      </c>
      <c r="H9">
        <v>5.774987248409813E-2</v>
      </c>
    </row>
    <row r="10" spans="1:8" x14ac:dyDescent="0.3">
      <c r="A10" t="s">
        <v>19</v>
      </c>
      <c r="B10">
        <v>0.24172494602699537</v>
      </c>
      <c r="D10" t="s">
        <v>19</v>
      </c>
      <c r="E10">
        <v>2.4233325006711884E-3</v>
      </c>
      <c r="G10" t="s">
        <v>19</v>
      </c>
      <c r="H10">
        <v>0.62043068910257226</v>
      </c>
    </row>
    <row r="11" spans="1:8" x14ac:dyDescent="0.3">
      <c r="A11" t="s">
        <v>20</v>
      </c>
      <c r="B11">
        <v>10</v>
      </c>
      <c r="D11" t="s">
        <v>20</v>
      </c>
      <c r="E11">
        <v>1500000</v>
      </c>
      <c r="G11" t="s">
        <v>20</v>
      </c>
      <c r="H11">
        <v>7</v>
      </c>
    </row>
    <row r="12" spans="1:8" x14ac:dyDescent="0.3">
      <c r="A12" t="s">
        <v>21</v>
      </c>
      <c r="B12">
        <v>25</v>
      </c>
      <c r="D12" t="s">
        <v>21</v>
      </c>
      <c r="E12">
        <v>300000</v>
      </c>
      <c r="G12" t="s">
        <v>21</v>
      </c>
      <c r="H12">
        <v>2</v>
      </c>
    </row>
    <row r="13" spans="1:8" x14ac:dyDescent="0.3">
      <c r="A13" t="s">
        <v>22</v>
      </c>
      <c r="B13">
        <v>35</v>
      </c>
      <c r="D13" t="s">
        <v>22</v>
      </c>
      <c r="E13">
        <v>1800000</v>
      </c>
      <c r="G13" t="s">
        <v>22</v>
      </c>
      <c r="H13">
        <v>9</v>
      </c>
    </row>
    <row r="14" spans="1:8" x14ac:dyDescent="0.3">
      <c r="A14" t="s">
        <v>23</v>
      </c>
      <c r="B14">
        <v>20215</v>
      </c>
      <c r="D14" t="s">
        <v>23</v>
      </c>
      <c r="E14">
        <v>646400000</v>
      </c>
      <c r="G14" t="s">
        <v>23</v>
      </c>
      <c r="H14">
        <v>3298</v>
      </c>
    </row>
    <row r="15" spans="1:8" x14ac:dyDescent="0.3">
      <c r="A15" t="s">
        <v>24</v>
      </c>
      <c r="B15">
        <v>682</v>
      </c>
      <c r="D15" t="s">
        <v>24</v>
      </c>
      <c r="E15">
        <v>682</v>
      </c>
      <c r="G15" t="s">
        <v>24</v>
      </c>
      <c r="H15">
        <v>682</v>
      </c>
    </row>
    <row r="17" spans="1:16" x14ac:dyDescent="0.3">
      <c r="A17" s="4"/>
      <c r="B17" s="4"/>
      <c r="C17" s="4"/>
      <c r="D17" s="4"/>
      <c r="E17" s="4"/>
      <c r="F17" s="4"/>
      <c r="G17" s="4"/>
      <c r="H17" s="4"/>
      <c r="I17" s="4"/>
      <c r="J17" s="4"/>
      <c r="K17" s="4"/>
      <c r="L17" s="4"/>
      <c r="M17" s="4"/>
      <c r="N17" s="4"/>
      <c r="O17" s="4"/>
      <c r="P17" s="4"/>
    </row>
    <row r="18" spans="1:16" x14ac:dyDescent="0.3">
      <c r="A18" s="3" t="s">
        <v>2</v>
      </c>
      <c r="B18" s="3" t="s">
        <v>25</v>
      </c>
      <c r="C18" s="3" t="s">
        <v>5</v>
      </c>
      <c r="D18" s="3" t="s">
        <v>26</v>
      </c>
      <c r="E18" s="3" t="s">
        <v>6</v>
      </c>
      <c r="F18" s="3" t="s">
        <v>27</v>
      </c>
      <c r="G18" s="4"/>
      <c r="H18" s="4"/>
      <c r="I18" s="4"/>
      <c r="J18" s="4"/>
      <c r="K18" s="4"/>
      <c r="L18" s="4"/>
      <c r="M18" s="4"/>
      <c r="N18" s="4"/>
      <c r="O18" s="4"/>
      <c r="P18" s="4"/>
    </row>
    <row r="19" spans="1:16" x14ac:dyDescent="0.3">
      <c r="G19" s="4"/>
      <c r="H19" s="4"/>
      <c r="I19" s="4"/>
      <c r="J19" s="4"/>
      <c r="K19" s="4"/>
      <c r="L19" s="4"/>
      <c r="M19" s="4"/>
      <c r="N19" s="4"/>
      <c r="O19" s="4"/>
      <c r="P19" s="4"/>
    </row>
    <row r="20" spans="1:16" x14ac:dyDescent="0.3">
      <c r="A20" t="s">
        <v>12</v>
      </c>
      <c r="B20">
        <v>29.659247889485801</v>
      </c>
      <c r="C20" t="s">
        <v>12</v>
      </c>
      <c r="D20">
        <v>924597.08365310822</v>
      </c>
      <c r="E20" t="s">
        <v>12</v>
      </c>
      <c r="F20">
        <v>4.7099002302379125</v>
      </c>
      <c r="G20" s="4"/>
      <c r="H20" s="4"/>
      <c r="I20" s="4"/>
      <c r="J20" s="4"/>
      <c r="K20" s="4"/>
      <c r="L20" s="4"/>
      <c r="M20" s="4"/>
      <c r="N20" s="4"/>
      <c r="O20" s="4"/>
      <c r="P20" s="4"/>
    </row>
    <row r="21" spans="1:16" x14ac:dyDescent="0.3">
      <c r="A21" t="s">
        <v>13</v>
      </c>
      <c r="B21">
        <v>8.0919657844262138E-2</v>
      </c>
      <c r="C21" t="s">
        <v>13</v>
      </c>
      <c r="D21">
        <v>10513.587134985584</v>
      </c>
      <c r="E21" t="s">
        <v>13</v>
      </c>
      <c r="F21">
        <v>4.4399457140557069E-2</v>
      </c>
      <c r="G21" s="4"/>
      <c r="H21" s="4"/>
      <c r="I21" s="4"/>
      <c r="J21" s="4"/>
      <c r="K21" s="4"/>
      <c r="L21" s="4"/>
      <c r="M21" s="4"/>
      <c r="N21" s="4"/>
      <c r="O21" s="4"/>
      <c r="P21" s="4"/>
    </row>
    <row r="22" spans="1:16" x14ac:dyDescent="0.3">
      <c r="A22" t="s">
        <v>14</v>
      </c>
      <c r="B22">
        <v>29</v>
      </c>
      <c r="C22" t="s">
        <v>14</v>
      </c>
      <c r="D22">
        <v>900000</v>
      </c>
      <c r="E22" t="s">
        <v>14</v>
      </c>
      <c r="F22">
        <v>4</v>
      </c>
      <c r="G22" s="4"/>
      <c r="H22" s="4"/>
      <c r="I22" s="4"/>
      <c r="J22" s="4"/>
      <c r="K22" s="4"/>
      <c r="L22" s="4"/>
      <c r="M22" s="4"/>
      <c r="N22" s="4"/>
      <c r="O22" s="4"/>
      <c r="P22" s="4"/>
    </row>
    <row r="23" spans="1:16" x14ac:dyDescent="0.3">
      <c r="A23" t="s">
        <v>15</v>
      </c>
      <c r="B23">
        <v>28</v>
      </c>
      <c r="C23" t="s">
        <v>15</v>
      </c>
      <c r="D23">
        <v>500000</v>
      </c>
      <c r="E23" t="s">
        <v>15</v>
      </c>
      <c r="F23">
        <v>4</v>
      </c>
    </row>
    <row r="24" spans="1:16" x14ac:dyDescent="0.3">
      <c r="A24" t="s">
        <v>16</v>
      </c>
      <c r="B24">
        <v>2.9209642768098156</v>
      </c>
      <c r="C24" t="s">
        <v>16</v>
      </c>
      <c r="D24">
        <v>379509.91465540067</v>
      </c>
      <c r="E24" t="s">
        <v>16</v>
      </c>
      <c r="F24">
        <v>1.602691257875996</v>
      </c>
    </row>
    <row r="25" spans="1:16" x14ac:dyDescent="0.3">
      <c r="A25" t="s">
        <v>17</v>
      </c>
      <c r="B25">
        <v>8.5320323063990884</v>
      </c>
      <c r="C25" t="s">
        <v>17</v>
      </c>
      <c r="D25">
        <v>144027775321.74951</v>
      </c>
      <c r="E25" t="s">
        <v>17</v>
      </c>
      <c r="F25">
        <v>2.5686192680721422</v>
      </c>
    </row>
    <row r="26" spans="1:16" x14ac:dyDescent="0.3">
      <c r="A26" t="s">
        <v>18</v>
      </c>
      <c r="B26">
        <v>-1.1142280255607924</v>
      </c>
      <c r="C26" t="s">
        <v>18</v>
      </c>
      <c r="D26">
        <v>-1.0283771774842267</v>
      </c>
      <c r="E26" t="s">
        <v>18</v>
      </c>
      <c r="F26">
        <v>-0.18075818550938116</v>
      </c>
    </row>
    <row r="27" spans="1:16" x14ac:dyDescent="0.3">
      <c r="A27" t="s">
        <v>19</v>
      </c>
      <c r="B27">
        <v>0.23653994629623815</v>
      </c>
      <c r="C27" t="s">
        <v>19</v>
      </c>
      <c r="D27">
        <v>0.11850652268966183</v>
      </c>
      <c r="E27" t="s">
        <v>19</v>
      </c>
      <c r="F27">
        <v>0.52850109878686025</v>
      </c>
    </row>
    <row r="28" spans="1:16" x14ac:dyDescent="0.3">
      <c r="A28" t="s">
        <v>20</v>
      </c>
      <c r="B28">
        <v>10</v>
      </c>
      <c r="C28" t="s">
        <v>20</v>
      </c>
      <c r="D28">
        <v>1500000</v>
      </c>
      <c r="E28" t="s">
        <v>20</v>
      </c>
      <c r="F28">
        <v>7</v>
      </c>
    </row>
    <row r="29" spans="1:16" x14ac:dyDescent="0.3">
      <c r="A29" t="s">
        <v>21</v>
      </c>
      <c r="B29">
        <v>25</v>
      </c>
      <c r="C29" t="s">
        <v>21</v>
      </c>
      <c r="D29">
        <v>300000</v>
      </c>
      <c r="E29" t="s">
        <v>21</v>
      </c>
      <c r="F29">
        <v>2</v>
      </c>
    </row>
    <row r="30" spans="1:16" x14ac:dyDescent="0.3">
      <c r="A30" t="s">
        <v>22</v>
      </c>
      <c r="B30">
        <v>35</v>
      </c>
      <c r="C30" t="s">
        <v>22</v>
      </c>
      <c r="D30">
        <v>1800000</v>
      </c>
      <c r="E30" t="s">
        <v>22</v>
      </c>
      <c r="F30">
        <v>9</v>
      </c>
    </row>
    <row r="31" spans="1:16" x14ac:dyDescent="0.3">
      <c r="A31" t="s">
        <v>23</v>
      </c>
      <c r="B31">
        <v>38646</v>
      </c>
      <c r="C31" t="s">
        <v>23</v>
      </c>
      <c r="D31">
        <v>1204750000</v>
      </c>
      <c r="E31" t="s">
        <v>23</v>
      </c>
      <c r="F31">
        <v>6137</v>
      </c>
    </row>
    <row r="32" spans="1:16" x14ac:dyDescent="0.3">
      <c r="A32" t="s">
        <v>24</v>
      </c>
      <c r="B32">
        <v>1303</v>
      </c>
      <c r="C32" t="s">
        <v>24</v>
      </c>
      <c r="D32">
        <v>1303</v>
      </c>
      <c r="E32" t="s">
        <v>24</v>
      </c>
      <c r="F32">
        <v>1303</v>
      </c>
    </row>
  </sheetData>
  <phoneticPr fontId="1"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9963-5937-424E-A42A-3138D36FC3A3}">
  <dimension ref="A1:F453"/>
  <sheetViews>
    <sheetView workbookViewId="0">
      <selection activeCell="E25" sqref="E25"/>
    </sheetView>
  </sheetViews>
  <sheetFormatPr defaultRowHeight="14.4" x14ac:dyDescent="0.3"/>
  <cols>
    <col min="1" max="1" width="22.33203125" customWidth="1"/>
    <col min="2" max="2" width="26" customWidth="1"/>
    <col min="4" max="4" width="30.33203125" customWidth="1"/>
    <col min="5" max="5" width="22.109375" customWidth="1"/>
    <col min="6" max="6" width="26.5546875" customWidth="1"/>
  </cols>
  <sheetData>
    <row r="1" spans="1:6" x14ac:dyDescent="0.3">
      <c r="A1" t="s">
        <v>32</v>
      </c>
      <c r="B1" t="s">
        <v>33</v>
      </c>
    </row>
    <row r="2" spans="1:6" x14ac:dyDescent="0.3">
      <c r="A2">
        <v>500000</v>
      </c>
      <c r="B2">
        <v>400000</v>
      </c>
    </row>
    <row r="3" spans="1:6" x14ac:dyDescent="0.3">
      <c r="A3">
        <v>1350000</v>
      </c>
      <c r="B3">
        <v>1250000</v>
      </c>
    </row>
    <row r="4" spans="1:6" x14ac:dyDescent="0.3">
      <c r="A4">
        <v>1450000</v>
      </c>
      <c r="B4">
        <v>700000</v>
      </c>
    </row>
    <row r="5" spans="1:6" ht="23.4" x14ac:dyDescent="0.45">
      <c r="A5">
        <v>1400000</v>
      </c>
      <c r="B5">
        <v>700000</v>
      </c>
      <c r="D5" s="6" t="s">
        <v>34</v>
      </c>
      <c r="E5" s="5"/>
      <c r="F5" s="5"/>
    </row>
    <row r="6" spans="1:6" ht="15" thickBot="1" x14ac:dyDescent="0.35">
      <c r="A6">
        <v>850000</v>
      </c>
      <c r="B6">
        <v>1150000</v>
      </c>
    </row>
    <row r="7" spans="1:6" x14ac:dyDescent="0.3">
      <c r="A7">
        <v>1500000</v>
      </c>
      <c r="B7">
        <v>1300000</v>
      </c>
      <c r="D7" s="2"/>
      <c r="E7" s="2" t="s">
        <v>32</v>
      </c>
      <c r="F7" s="2" t="s">
        <v>33</v>
      </c>
    </row>
    <row r="8" spans="1:6" x14ac:dyDescent="0.3">
      <c r="A8">
        <v>800000</v>
      </c>
      <c r="B8">
        <v>800000</v>
      </c>
      <c r="D8" t="s">
        <v>12</v>
      </c>
      <c r="E8">
        <v>1154782.6086956521</v>
      </c>
      <c r="F8">
        <v>842477.87610619469</v>
      </c>
    </row>
    <row r="9" spans="1:6" x14ac:dyDescent="0.3">
      <c r="A9">
        <v>1050000</v>
      </c>
      <c r="B9">
        <v>400000</v>
      </c>
      <c r="D9" t="s">
        <v>35</v>
      </c>
      <c r="E9">
        <v>129540345547.75027</v>
      </c>
      <c r="F9">
        <v>109533092635.83385</v>
      </c>
    </row>
    <row r="10" spans="1:6" x14ac:dyDescent="0.3">
      <c r="A10">
        <v>1500000</v>
      </c>
      <c r="B10">
        <v>400000</v>
      </c>
      <c r="D10" t="s">
        <v>36</v>
      </c>
      <c r="E10">
        <v>230</v>
      </c>
      <c r="F10">
        <v>452</v>
      </c>
    </row>
    <row r="11" spans="1:6" x14ac:dyDescent="0.3">
      <c r="A11">
        <v>350000</v>
      </c>
      <c r="B11">
        <v>700000</v>
      </c>
      <c r="D11" t="s">
        <v>37</v>
      </c>
      <c r="E11">
        <v>0</v>
      </c>
    </row>
    <row r="12" spans="1:6" x14ac:dyDescent="0.3">
      <c r="A12">
        <v>600000</v>
      </c>
      <c r="B12">
        <v>1150000</v>
      </c>
      <c r="D12" t="s">
        <v>38</v>
      </c>
      <c r="E12">
        <v>428</v>
      </c>
    </row>
    <row r="13" spans="1:6" x14ac:dyDescent="0.3">
      <c r="A13">
        <v>1300000</v>
      </c>
      <c r="B13">
        <v>1150000</v>
      </c>
      <c r="D13" s="7" t="s">
        <v>39</v>
      </c>
      <c r="E13" s="7">
        <v>11.003545734731599</v>
      </c>
    </row>
    <row r="14" spans="1:6" x14ac:dyDescent="0.3">
      <c r="A14">
        <v>750000</v>
      </c>
      <c r="B14">
        <v>1100000</v>
      </c>
      <c r="D14" t="s">
        <v>40</v>
      </c>
      <c r="E14">
        <v>2.8641584116957599E-25</v>
      </c>
    </row>
    <row r="15" spans="1:6" x14ac:dyDescent="0.3">
      <c r="A15">
        <v>800000</v>
      </c>
      <c r="B15">
        <v>1500000</v>
      </c>
      <c r="D15" t="s">
        <v>41</v>
      </c>
      <c r="E15">
        <v>1.6484216006677885</v>
      </c>
    </row>
    <row r="16" spans="1:6" x14ac:dyDescent="0.3">
      <c r="A16">
        <v>1500000</v>
      </c>
      <c r="B16">
        <v>800000</v>
      </c>
      <c r="D16" s="9" t="s">
        <v>42</v>
      </c>
      <c r="E16" s="17">
        <v>5.7283168233915199E-25</v>
      </c>
    </row>
    <row r="17" spans="1:6" ht="15" thickBot="1" x14ac:dyDescent="0.35">
      <c r="A17">
        <v>1400000</v>
      </c>
      <c r="B17">
        <v>1250000</v>
      </c>
      <c r="D17" s="8" t="s">
        <v>43</v>
      </c>
      <c r="E17" s="8">
        <v>1.965522114974384</v>
      </c>
      <c r="F17" s="1"/>
    </row>
    <row r="18" spans="1:6" x14ac:dyDescent="0.3">
      <c r="A18">
        <v>1500000</v>
      </c>
      <c r="B18">
        <v>600000</v>
      </c>
    </row>
    <row r="19" spans="1:6" x14ac:dyDescent="0.3">
      <c r="A19">
        <v>1200000</v>
      </c>
      <c r="B19">
        <v>900000</v>
      </c>
    </row>
    <row r="20" spans="1:6" x14ac:dyDescent="0.3">
      <c r="A20">
        <v>1400000</v>
      </c>
      <c r="B20">
        <v>550000</v>
      </c>
      <c r="E20" s="17">
        <v>5.7283168233915199E-25</v>
      </c>
      <c r="F20" s="7" t="s">
        <v>47</v>
      </c>
    </row>
    <row r="21" spans="1:6" x14ac:dyDescent="0.3">
      <c r="A21">
        <v>1400000</v>
      </c>
      <c r="B21">
        <v>300000</v>
      </c>
    </row>
    <row r="22" spans="1:6" x14ac:dyDescent="0.3">
      <c r="A22">
        <v>1400000</v>
      </c>
      <c r="B22">
        <v>850000</v>
      </c>
    </row>
    <row r="23" spans="1:6" x14ac:dyDescent="0.3">
      <c r="A23">
        <v>1350000</v>
      </c>
      <c r="B23">
        <v>1400000</v>
      </c>
    </row>
    <row r="24" spans="1:6" x14ac:dyDescent="0.3">
      <c r="A24">
        <v>550000</v>
      </c>
      <c r="B24">
        <v>300000</v>
      </c>
    </row>
    <row r="25" spans="1:6" x14ac:dyDescent="0.3">
      <c r="A25">
        <v>1000000</v>
      </c>
      <c r="B25">
        <v>700000</v>
      </c>
    </row>
    <row r="26" spans="1:6" x14ac:dyDescent="0.3">
      <c r="A26">
        <v>1400000</v>
      </c>
      <c r="B26">
        <v>1100000</v>
      </c>
    </row>
    <row r="27" spans="1:6" x14ac:dyDescent="0.3">
      <c r="A27">
        <v>1400000</v>
      </c>
      <c r="B27">
        <v>550000</v>
      </c>
    </row>
    <row r="28" spans="1:6" x14ac:dyDescent="0.3">
      <c r="A28">
        <v>800000</v>
      </c>
      <c r="B28">
        <v>1100000</v>
      </c>
    </row>
    <row r="29" spans="1:6" x14ac:dyDescent="0.3">
      <c r="A29">
        <v>1450000</v>
      </c>
      <c r="B29">
        <v>600000</v>
      </c>
    </row>
    <row r="30" spans="1:6" x14ac:dyDescent="0.3">
      <c r="A30">
        <v>1500000</v>
      </c>
      <c r="B30">
        <v>1250000</v>
      </c>
    </row>
    <row r="31" spans="1:6" x14ac:dyDescent="0.3">
      <c r="A31">
        <v>1200000</v>
      </c>
      <c r="B31">
        <v>1050000</v>
      </c>
    </row>
    <row r="32" spans="1:6" x14ac:dyDescent="0.3">
      <c r="A32">
        <v>1300000</v>
      </c>
      <c r="B32">
        <v>1250000</v>
      </c>
    </row>
    <row r="33" spans="1:2" x14ac:dyDescent="0.3">
      <c r="A33">
        <v>950000</v>
      </c>
      <c r="B33">
        <v>300000</v>
      </c>
    </row>
    <row r="34" spans="1:2" x14ac:dyDescent="0.3">
      <c r="A34">
        <v>1700000</v>
      </c>
      <c r="B34">
        <v>1200000</v>
      </c>
    </row>
    <row r="35" spans="1:2" x14ac:dyDescent="0.3">
      <c r="A35">
        <v>700000</v>
      </c>
      <c r="B35">
        <v>750000</v>
      </c>
    </row>
    <row r="36" spans="1:2" x14ac:dyDescent="0.3">
      <c r="A36">
        <v>1400000</v>
      </c>
      <c r="B36">
        <v>1250000</v>
      </c>
    </row>
    <row r="37" spans="1:2" x14ac:dyDescent="0.3">
      <c r="A37">
        <v>1300000</v>
      </c>
      <c r="B37">
        <v>800000</v>
      </c>
    </row>
    <row r="38" spans="1:2" x14ac:dyDescent="0.3">
      <c r="A38">
        <v>1500000</v>
      </c>
      <c r="B38">
        <v>500000</v>
      </c>
    </row>
    <row r="39" spans="1:2" x14ac:dyDescent="0.3">
      <c r="A39">
        <v>1400000</v>
      </c>
      <c r="B39">
        <v>600000</v>
      </c>
    </row>
    <row r="40" spans="1:2" x14ac:dyDescent="0.3">
      <c r="A40">
        <v>1300000</v>
      </c>
      <c r="B40">
        <v>800000</v>
      </c>
    </row>
    <row r="41" spans="1:2" x14ac:dyDescent="0.3">
      <c r="A41">
        <v>1700000</v>
      </c>
      <c r="B41">
        <v>350000</v>
      </c>
    </row>
    <row r="42" spans="1:2" x14ac:dyDescent="0.3">
      <c r="A42">
        <v>1150000</v>
      </c>
      <c r="B42">
        <v>300000</v>
      </c>
    </row>
    <row r="43" spans="1:2" x14ac:dyDescent="0.3">
      <c r="A43">
        <v>1500000</v>
      </c>
      <c r="B43">
        <v>1300000</v>
      </c>
    </row>
    <row r="44" spans="1:2" x14ac:dyDescent="0.3">
      <c r="A44">
        <v>1400000</v>
      </c>
      <c r="B44">
        <v>750000</v>
      </c>
    </row>
    <row r="45" spans="1:2" x14ac:dyDescent="0.3">
      <c r="A45">
        <v>500000</v>
      </c>
      <c r="B45">
        <v>800000</v>
      </c>
    </row>
    <row r="46" spans="1:2" x14ac:dyDescent="0.3">
      <c r="A46">
        <v>1350000</v>
      </c>
      <c r="B46">
        <v>750000</v>
      </c>
    </row>
    <row r="47" spans="1:2" x14ac:dyDescent="0.3">
      <c r="A47">
        <v>1750000</v>
      </c>
      <c r="B47">
        <v>700000</v>
      </c>
    </row>
    <row r="48" spans="1:2" x14ac:dyDescent="0.3">
      <c r="A48">
        <v>800000</v>
      </c>
      <c r="B48">
        <v>1300000</v>
      </c>
    </row>
    <row r="49" spans="1:2" x14ac:dyDescent="0.3">
      <c r="A49">
        <v>500000</v>
      </c>
      <c r="B49">
        <v>400000</v>
      </c>
    </row>
    <row r="50" spans="1:2" x14ac:dyDescent="0.3">
      <c r="A50">
        <v>800000</v>
      </c>
      <c r="B50">
        <v>400000</v>
      </c>
    </row>
    <row r="51" spans="1:2" x14ac:dyDescent="0.3">
      <c r="A51">
        <v>750000</v>
      </c>
      <c r="B51">
        <v>1300000</v>
      </c>
    </row>
    <row r="52" spans="1:2" x14ac:dyDescent="0.3">
      <c r="A52">
        <v>1400000</v>
      </c>
      <c r="B52">
        <v>1150000</v>
      </c>
    </row>
    <row r="53" spans="1:2" x14ac:dyDescent="0.3">
      <c r="A53">
        <v>650000</v>
      </c>
      <c r="B53">
        <v>1250000</v>
      </c>
    </row>
    <row r="54" spans="1:2" x14ac:dyDescent="0.3">
      <c r="A54">
        <v>1200000</v>
      </c>
      <c r="B54">
        <v>350000</v>
      </c>
    </row>
    <row r="55" spans="1:2" x14ac:dyDescent="0.3">
      <c r="A55">
        <v>1300000</v>
      </c>
      <c r="B55">
        <v>900000</v>
      </c>
    </row>
    <row r="56" spans="1:2" x14ac:dyDescent="0.3">
      <c r="A56">
        <v>1250000</v>
      </c>
      <c r="B56">
        <v>300000</v>
      </c>
    </row>
    <row r="57" spans="1:2" x14ac:dyDescent="0.3">
      <c r="A57">
        <v>1200000</v>
      </c>
      <c r="B57">
        <v>1050000</v>
      </c>
    </row>
    <row r="58" spans="1:2" x14ac:dyDescent="0.3">
      <c r="A58">
        <v>1400000</v>
      </c>
      <c r="B58">
        <v>300000</v>
      </c>
    </row>
    <row r="59" spans="1:2" x14ac:dyDescent="0.3">
      <c r="A59">
        <v>500000</v>
      </c>
      <c r="B59">
        <v>1050000</v>
      </c>
    </row>
    <row r="60" spans="1:2" x14ac:dyDescent="0.3">
      <c r="A60">
        <v>1350000</v>
      </c>
      <c r="B60">
        <v>300000</v>
      </c>
    </row>
    <row r="61" spans="1:2" x14ac:dyDescent="0.3">
      <c r="A61">
        <v>450000</v>
      </c>
      <c r="B61">
        <v>1150000</v>
      </c>
    </row>
    <row r="62" spans="1:2" x14ac:dyDescent="0.3">
      <c r="A62">
        <v>700000</v>
      </c>
      <c r="B62">
        <v>1300000</v>
      </c>
    </row>
    <row r="63" spans="1:2" x14ac:dyDescent="0.3">
      <c r="A63">
        <v>1050000</v>
      </c>
      <c r="B63">
        <v>700000</v>
      </c>
    </row>
    <row r="64" spans="1:2" x14ac:dyDescent="0.3">
      <c r="A64">
        <v>800000</v>
      </c>
      <c r="B64">
        <v>350000</v>
      </c>
    </row>
    <row r="65" spans="1:2" x14ac:dyDescent="0.3">
      <c r="A65">
        <v>300000</v>
      </c>
      <c r="B65">
        <v>1100000</v>
      </c>
    </row>
    <row r="66" spans="1:2" x14ac:dyDescent="0.3">
      <c r="A66">
        <v>500000</v>
      </c>
      <c r="B66">
        <v>600000</v>
      </c>
    </row>
    <row r="67" spans="1:2" x14ac:dyDescent="0.3">
      <c r="A67">
        <v>1400000</v>
      </c>
      <c r="B67">
        <v>500000</v>
      </c>
    </row>
    <row r="68" spans="1:2" x14ac:dyDescent="0.3">
      <c r="A68">
        <v>1400000</v>
      </c>
      <c r="B68">
        <v>1150000</v>
      </c>
    </row>
    <row r="69" spans="1:2" x14ac:dyDescent="0.3">
      <c r="A69">
        <v>1000000</v>
      </c>
      <c r="B69">
        <v>750000</v>
      </c>
    </row>
    <row r="70" spans="1:2" x14ac:dyDescent="0.3">
      <c r="A70">
        <v>1350000</v>
      </c>
      <c r="B70">
        <v>1300000</v>
      </c>
    </row>
    <row r="71" spans="1:2" x14ac:dyDescent="0.3">
      <c r="A71">
        <v>1450000</v>
      </c>
      <c r="B71">
        <v>850000</v>
      </c>
    </row>
    <row r="72" spans="1:2" x14ac:dyDescent="0.3">
      <c r="A72">
        <v>1050000</v>
      </c>
      <c r="B72">
        <v>400000</v>
      </c>
    </row>
    <row r="73" spans="1:2" x14ac:dyDescent="0.3">
      <c r="A73">
        <v>1400000</v>
      </c>
      <c r="B73">
        <v>800000</v>
      </c>
    </row>
    <row r="74" spans="1:2" x14ac:dyDescent="0.3">
      <c r="A74">
        <v>600000</v>
      </c>
      <c r="B74">
        <v>800000</v>
      </c>
    </row>
    <row r="75" spans="1:2" x14ac:dyDescent="0.3">
      <c r="A75">
        <v>1150000</v>
      </c>
      <c r="B75">
        <v>900000</v>
      </c>
    </row>
    <row r="76" spans="1:2" x14ac:dyDescent="0.3">
      <c r="A76">
        <v>1350000</v>
      </c>
      <c r="B76">
        <v>500000</v>
      </c>
    </row>
    <row r="77" spans="1:2" x14ac:dyDescent="0.3">
      <c r="A77">
        <v>1400000</v>
      </c>
      <c r="B77">
        <v>900000</v>
      </c>
    </row>
    <row r="78" spans="1:2" x14ac:dyDescent="0.3">
      <c r="A78">
        <v>1050000</v>
      </c>
      <c r="B78">
        <v>400000</v>
      </c>
    </row>
    <row r="79" spans="1:2" x14ac:dyDescent="0.3">
      <c r="A79">
        <v>1300000</v>
      </c>
      <c r="B79">
        <v>500000</v>
      </c>
    </row>
    <row r="80" spans="1:2" x14ac:dyDescent="0.3">
      <c r="A80">
        <v>1500000</v>
      </c>
      <c r="B80">
        <v>800000</v>
      </c>
    </row>
    <row r="81" spans="1:2" x14ac:dyDescent="0.3">
      <c r="A81">
        <v>800000</v>
      </c>
      <c r="B81">
        <v>800000</v>
      </c>
    </row>
    <row r="82" spans="1:2" x14ac:dyDescent="0.3">
      <c r="A82">
        <v>1050000</v>
      </c>
      <c r="B82">
        <v>850000</v>
      </c>
    </row>
    <row r="83" spans="1:2" x14ac:dyDescent="0.3">
      <c r="A83">
        <v>1300000</v>
      </c>
      <c r="B83">
        <v>350000</v>
      </c>
    </row>
    <row r="84" spans="1:2" x14ac:dyDescent="0.3">
      <c r="A84">
        <v>1000000</v>
      </c>
      <c r="B84">
        <v>800000</v>
      </c>
    </row>
    <row r="85" spans="1:2" x14ac:dyDescent="0.3">
      <c r="A85">
        <v>1350000</v>
      </c>
      <c r="B85">
        <v>750000</v>
      </c>
    </row>
    <row r="86" spans="1:2" x14ac:dyDescent="0.3">
      <c r="A86">
        <v>1400000</v>
      </c>
      <c r="B86">
        <v>1050000</v>
      </c>
    </row>
    <row r="87" spans="1:2" x14ac:dyDescent="0.3">
      <c r="A87">
        <v>1500000</v>
      </c>
      <c r="B87">
        <v>800000</v>
      </c>
    </row>
    <row r="88" spans="1:2" x14ac:dyDescent="0.3">
      <c r="A88">
        <v>1300000</v>
      </c>
      <c r="B88">
        <v>750000</v>
      </c>
    </row>
    <row r="89" spans="1:2" x14ac:dyDescent="0.3">
      <c r="A89">
        <v>550000</v>
      </c>
      <c r="B89">
        <v>1100000</v>
      </c>
    </row>
    <row r="90" spans="1:2" x14ac:dyDescent="0.3">
      <c r="A90">
        <v>400000</v>
      </c>
      <c r="B90">
        <v>600000</v>
      </c>
    </row>
    <row r="91" spans="1:2" x14ac:dyDescent="0.3">
      <c r="A91">
        <v>1400000</v>
      </c>
      <c r="B91">
        <v>600000</v>
      </c>
    </row>
    <row r="92" spans="1:2" x14ac:dyDescent="0.3">
      <c r="A92">
        <v>1100000</v>
      </c>
      <c r="B92">
        <v>1150000</v>
      </c>
    </row>
    <row r="93" spans="1:2" x14ac:dyDescent="0.3">
      <c r="A93">
        <v>1100000</v>
      </c>
      <c r="B93">
        <v>550000</v>
      </c>
    </row>
    <row r="94" spans="1:2" x14ac:dyDescent="0.3">
      <c r="A94">
        <v>500000</v>
      </c>
      <c r="B94">
        <v>1400000</v>
      </c>
    </row>
    <row r="95" spans="1:2" x14ac:dyDescent="0.3">
      <c r="A95">
        <v>1300000</v>
      </c>
      <c r="B95">
        <v>350000</v>
      </c>
    </row>
    <row r="96" spans="1:2" x14ac:dyDescent="0.3">
      <c r="A96">
        <v>1000000</v>
      </c>
      <c r="B96">
        <v>1300000</v>
      </c>
    </row>
    <row r="97" spans="1:2" x14ac:dyDescent="0.3">
      <c r="A97">
        <v>850000</v>
      </c>
      <c r="B97">
        <v>1250000</v>
      </c>
    </row>
    <row r="98" spans="1:2" x14ac:dyDescent="0.3">
      <c r="A98">
        <v>1400000</v>
      </c>
      <c r="B98">
        <v>1150000</v>
      </c>
    </row>
    <row r="99" spans="1:2" x14ac:dyDescent="0.3">
      <c r="A99">
        <v>800000</v>
      </c>
      <c r="B99">
        <v>400000</v>
      </c>
    </row>
    <row r="100" spans="1:2" x14ac:dyDescent="0.3">
      <c r="A100">
        <v>1400000</v>
      </c>
      <c r="B100">
        <v>800000</v>
      </c>
    </row>
    <row r="101" spans="1:2" x14ac:dyDescent="0.3">
      <c r="A101">
        <v>750000</v>
      </c>
      <c r="B101">
        <v>1200000</v>
      </c>
    </row>
    <row r="102" spans="1:2" x14ac:dyDescent="0.3">
      <c r="A102">
        <v>1250000</v>
      </c>
      <c r="B102">
        <v>600000</v>
      </c>
    </row>
    <row r="103" spans="1:2" x14ac:dyDescent="0.3">
      <c r="A103">
        <v>800000</v>
      </c>
      <c r="B103">
        <v>700000</v>
      </c>
    </row>
    <row r="104" spans="1:2" x14ac:dyDescent="0.3">
      <c r="A104">
        <v>1700000</v>
      </c>
      <c r="B104">
        <v>900000</v>
      </c>
    </row>
    <row r="105" spans="1:2" x14ac:dyDescent="0.3">
      <c r="A105">
        <v>900000</v>
      </c>
      <c r="B105">
        <v>600000</v>
      </c>
    </row>
    <row r="106" spans="1:2" x14ac:dyDescent="0.3">
      <c r="A106">
        <v>700000</v>
      </c>
      <c r="B106">
        <v>900000</v>
      </c>
    </row>
    <row r="107" spans="1:2" x14ac:dyDescent="0.3">
      <c r="A107">
        <v>650000</v>
      </c>
      <c r="B107">
        <v>350000</v>
      </c>
    </row>
    <row r="108" spans="1:2" x14ac:dyDescent="0.3">
      <c r="A108">
        <v>650000</v>
      </c>
      <c r="B108">
        <v>300000</v>
      </c>
    </row>
    <row r="109" spans="1:2" x14ac:dyDescent="0.3">
      <c r="A109">
        <v>1500000</v>
      </c>
      <c r="B109">
        <v>1000000</v>
      </c>
    </row>
    <row r="110" spans="1:2" x14ac:dyDescent="0.3">
      <c r="A110">
        <v>1150000</v>
      </c>
      <c r="B110">
        <v>800000</v>
      </c>
    </row>
    <row r="111" spans="1:2" x14ac:dyDescent="0.3">
      <c r="A111">
        <v>1400000</v>
      </c>
      <c r="B111">
        <v>400000</v>
      </c>
    </row>
    <row r="112" spans="1:2" x14ac:dyDescent="0.3">
      <c r="A112">
        <v>800000</v>
      </c>
      <c r="B112">
        <v>850000</v>
      </c>
    </row>
    <row r="113" spans="1:2" x14ac:dyDescent="0.3">
      <c r="A113">
        <v>1100000</v>
      </c>
      <c r="B113">
        <v>600000</v>
      </c>
    </row>
    <row r="114" spans="1:2" x14ac:dyDescent="0.3">
      <c r="A114">
        <v>1700000</v>
      </c>
      <c r="B114">
        <v>900000</v>
      </c>
    </row>
    <row r="115" spans="1:2" x14ac:dyDescent="0.3">
      <c r="A115">
        <v>1400000</v>
      </c>
      <c r="B115">
        <v>600000</v>
      </c>
    </row>
    <row r="116" spans="1:2" x14ac:dyDescent="0.3">
      <c r="A116">
        <v>700000</v>
      </c>
      <c r="B116">
        <v>800000</v>
      </c>
    </row>
    <row r="117" spans="1:2" x14ac:dyDescent="0.3">
      <c r="A117">
        <v>550000</v>
      </c>
      <c r="B117">
        <v>1250000</v>
      </c>
    </row>
    <row r="118" spans="1:2" x14ac:dyDescent="0.3">
      <c r="A118">
        <v>1650000</v>
      </c>
      <c r="B118">
        <v>350000</v>
      </c>
    </row>
    <row r="119" spans="1:2" x14ac:dyDescent="0.3">
      <c r="A119">
        <v>1050000</v>
      </c>
      <c r="B119">
        <v>1250000</v>
      </c>
    </row>
    <row r="120" spans="1:2" x14ac:dyDescent="0.3">
      <c r="A120">
        <v>800000</v>
      </c>
      <c r="B120">
        <v>750000</v>
      </c>
    </row>
    <row r="121" spans="1:2" x14ac:dyDescent="0.3">
      <c r="A121">
        <v>1100000</v>
      </c>
      <c r="B121">
        <v>1300000</v>
      </c>
    </row>
    <row r="122" spans="1:2" x14ac:dyDescent="0.3">
      <c r="A122">
        <v>1800000</v>
      </c>
      <c r="B122">
        <v>1700000</v>
      </c>
    </row>
    <row r="123" spans="1:2" x14ac:dyDescent="0.3">
      <c r="A123">
        <v>1350000</v>
      </c>
      <c r="B123">
        <v>750000</v>
      </c>
    </row>
    <row r="124" spans="1:2" x14ac:dyDescent="0.3">
      <c r="A124">
        <v>1150000</v>
      </c>
      <c r="B124">
        <v>650000</v>
      </c>
    </row>
    <row r="125" spans="1:2" x14ac:dyDescent="0.3">
      <c r="A125">
        <v>1400000</v>
      </c>
      <c r="B125">
        <v>500000</v>
      </c>
    </row>
    <row r="126" spans="1:2" x14ac:dyDescent="0.3">
      <c r="A126">
        <v>1350000</v>
      </c>
      <c r="B126">
        <v>900000</v>
      </c>
    </row>
    <row r="127" spans="1:2" x14ac:dyDescent="0.3">
      <c r="A127">
        <v>1700000</v>
      </c>
      <c r="B127">
        <v>650000</v>
      </c>
    </row>
    <row r="128" spans="1:2" x14ac:dyDescent="0.3">
      <c r="A128">
        <v>800000</v>
      </c>
      <c r="B128">
        <v>800000</v>
      </c>
    </row>
    <row r="129" spans="1:2" x14ac:dyDescent="0.3">
      <c r="A129">
        <v>1300000</v>
      </c>
      <c r="B129">
        <v>1300000</v>
      </c>
    </row>
    <row r="130" spans="1:2" x14ac:dyDescent="0.3">
      <c r="A130">
        <v>1550000</v>
      </c>
      <c r="B130">
        <v>1100000</v>
      </c>
    </row>
    <row r="131" spans="1:2" x14ac:dyDescent="0.3">
      <c r="A131">
        <v>1700000</v>
      </c>
      <c r="B131">
        <v>1150000</v>
      </c>
    </row>
    <row r="132" spans="1:2" x14ac:dyDescent="0.3">
      <c r="A132">
        <v>1550000</v>
      </c>
      <c r="B132">
        <v>1100000</v>
      </c>
    </row>
    <row r="133" spans="1:2" x14ac:dyDescent="0.3">
      <c r="A133">
        <v>1400000</v>
      </c>
      <c r="B133">
        <v>900000</v>
      </c>
    </row>
    <row r="134" spans="1:2" x14ac:dyDescent="0.3">
      <c r="A134">
        <v>1350000</v>
      </c>
      <c r="B134">
        <v>1150000</v>
      </c>
    </row>
    <row r="135" spans="1:2" x14ac:dyDescent="0.3">
      <c r="A135">
        <v>1350000</v>
      </c>
      <c r="B135">
        <v>350000</v>
      </c>
    </row>
    <row r="136" spans="1:2" x14ac:dyDescent="0.3">
      <c r="A136">
        <v>550000</v>
      </c>
      <c r="B136">
        <v>1700000</v>
      </c>
    </row>
    <row r="137" spans="1:2" x14ac:dyDescent="0.3">
      <c r="A137">
        <v>1200000</v>
      </c>
      <c r="B137">
        <v>1200000</v>
      </c>
    </row>
    <row r="138" spans="1:2" x14ac:dyDescent="0.3">
      <c r="A138">
        <v>950000</v>
      </c>
      <c r="B138">
        <v>450000</v>
      </c>
    </row>
    <row r="139" spans="1:2" x14ac:dyDescent="0.3">
      <c r="A139">
        <v>1200000</v>
      </c>
      <c r="B139">
        <v>750000</v>
      </c>
    </row>
    <row r="140" spans="1:2" x14ac:dyDescent="0.3">
      <c r="A140">
        <v>650000</v>
      </c>
      <c r="B140">
        <v>850000</v>
      </c>
    </row>
    <row r="141" spans="1:2" x14ac:dyDescent="0.3">
      <c r="A141">
        <v>650000</v>
      </c>
      <c r="B141">
        <v>1100000</v>
      </c>
    </row>
    <row r="142" spans="1:2" x14ac:dyDescent="0.3">
      <c r="A142">
        <v>1200000</v>
      </c>
      <c r="B142">
        <v>800000</v>
      </c>
    </row>
    <row r="143" spans="1:2" x14ac:dyDescent="0.3">
      <c r="A143">
        <v>1700000</v>
      </c>
      <c r="B143">
        <v>1500000</v>
      </c>
    </row>
    <row r="144" spans="1:2" x14ac:dyDescent="0.3">
      <c r="A144">
        <v>1700000</v>
      </c>
      <c r="B144">
        <v>1250000</v>
      </c>
    </row>
    <row r="145" spans="1:2" x14ac:dyDescent="0.3">
      <c r="A145">
        <v>1400000</v>
      </c>
      <c r="B145">
        <v>800000</v>
      </c>
    </row>
    <row r="146" spans="1:2" x14ac:dyDescent="0.3">
      <c r="A146">
        <v>1400000</v>
      </c>
      <c r="B146">
        <v>1200000</v>
      </c>
    </row>
    <row r="147" spans="1:2" x14ac:dyDescent="0.3">
      <c r="A147">
        <v>1400000</v>
      </c>
      <c r="B147">
        <v>1200000</v>
      </c>
    </row>
    <row r="148" spans="1:2" x14ac:dyDescent="0.3">
      <c r="A148">
        <v>1500000</v>
      </c>
      <c r="B148">
        <v>650000</v>
      </c>
    </row>
    <row r="149" spans="1:2" x14ac:dyDescent="0.3">
      <c r="A149">
        <v>1400000</v>
      </c>
      <c r="B149">
        <v>1100000</v>
      </c>
    </row>
    <row r="150" spans="1:2" x14ac:dyDescent="0.3">
      <c r="A150">
        <v>1100000</v>
      </c>
      <c r="B150">
        <v>1250000</v>
      </c>
    </row>
    <row r="151" spans="1:2" x14ac:dyDescent="0.3">
      <c r="A151">
        <v>1400000</v>
      </c>
      <c r="B151">
        <v>1300000</v>
      </c>
    </row>
    <row r="152" spans="1:2" x14ac:dyDescent="0.3">
      <c r="A152">
        <v>1300000</v>
      </c>
      <c r="B152">
        <v>1000000</v>
      </c>
    </row>
    <row r="153" spans="1:2" x14ac:dyDescent="0.3">
      <c r="A153">
        <v>1300000</v>
      </c>
      <c r="B153">
        <v>1000000</v>
      </c>
    </row>
    <row r="154" spans="1:2" x14ac:dyDescent="0.3">
      <c r="A154">
        <v>1500000</v>
      </c>
      <c r="B154">
        <v>900000</v>
      </c>
    </row>
    <row r="155" spans="1:2" x14ac:dyDescent="0.3">
      <c r="A155">
        <v>1000000</v>
      </c>
      <c r="B155">
        <v>1200000</v>
      </c>
    </row>
    <row r="156" spans="1:2" x14ac:dyDescent="0.3">
      <c r="A156">
        <v>850000</v>
      </c>
      <c r="B156">
        <v>1250000</v>
      </c>
    </row>
    <row r="157" spans="1:2" x14ac:dyDescent="0.3">
      <c r="A157">
        <v>1150000</v>
      </c>
      <c r="B157">
        <v>1200000</v>
      </c>
    </row>
    <row r="158" spans="1:2" x14ac:dyDescent="0.3">
      <c r="A158">
        <v>700000</v>
      </c>
      <c r="B158">
        <v>1300000</v>
      </c>
    </row>
    <row r="159" spans="1:2" x14ac:dyDescent="0.3">
      <c r="A159">
        <v>1500000</v>
      </c>
      <c r="B159">
        <v>550000</v>
      </c>
    </row>
    <row r="160" spans="1:2" x14ac:dyDescent="0.3">
      <c r="A160">
        <v>500000</v>
      </c>
      <c r="B160">
        <v>500000</v>
      </c>
    </row>
    <row r="161" spans="1:2" x14ac:dyDescent="0.3">
      <c r="A161">
        <v>1300000</v>
      </c>
      <c r="B161">
        <v>600000</v>
      </c>
    </row>
    <row r="162" spans="1:2" x14ac:dyDescent="0.3">
      <c r="A162">
        <v>1500000</v>
      </c>
      <c r="B162">
        <v>1250000</v>
      </c>
    </row>
    <row r="163" spans="1:2" x14ac:dyDescent="0.3">
      <c r="A163">
        <v>1500000</v>
      </c>
      <c r="B163">
        <v>350000</v>
      </c>
    </row>
    <row r="164" spans="1:2" x14ac:dyDescent="0.3">
      <c r="A164">
        <v>1350000</v>
      </c>
      <c r="B164">
        <v>400000</v>
      </c>
    </row>
    <row r="165" spans="1:2" x14ac:dyDescent="0.3">
      <c r="A165">
        <v>900000</v>
      </c>
      <c r="B165">
        <v>750000</v>
      </c>
    </row>
    <row r="166" spans="1:2" x14ac:dyDescent="0.3">
      <c r="A166">
        <v>1500000</v>
      </c>
      <c r="B166">
        <v>500000</v>
      </c>
    </row>
    <row r="167" spans="1:2" x14ac:dyDescent="0.3">
      <c r="A167">
        <v>1500000</v>
      </c>
      <c r="B167">
        <v>1150000</v>
      </c>
    </row>
    <row r="168" spans="1:2" x14ac:dyDescent="0.3">
      <c r="A168">
        <v>1700000</v>
      </c>
      <c r="B168">
        <v>350000</v>
      </c>
    </row>
    <row r="169" spans="1:2" x14ac:dyDescent="0.3">
      <c r="A169">
        <v>1400000</v>
      </c>
      <c r="B169">
        <v>1150000</v>
      </c>
    </row>
    <row r="170" spans="1:2" x14ac:dyDescent="0.3">
      <c r="A170">
        <v>1000000</v>
      </c>
      <c r="B170">
        <v>300000</v>
      </c>
    </row>
    <row r="171" spans="1:2" x14ac:dyDescent="0.3">
      <c r="A171">
        <v>1400000</v>
      </c>
      <c r="B171">
        <v>1200000</v>
      </c>
    </row>
    <row r="172" spans="1:2" x14ac:dyDescent="0.3">
      <c r="A172">
        <v>1500000</v>
      </c>
      <c r="B172">
        <v>900000</v>
      </c>
    </row>
    <row r="173" spans="1:2" x14ac:dyDescent="0.3">
      <c r="A173">
        <v>1050000</v>
      </c>
      <c r="B173">
        <v>750000</v>
      </c>
    </row>
    <row r="174" spans="1:2" x14ac:dyDescent="0.3">
      <c r="A174">
        <v>800000</v>
      </c>
      <c r="B174">
        <v>800000</v>
      </c>
    </row>
    <row r="175" spans="1:2" x14ac:dyDescent="0.3">
      <c r="A175">
        <v>850000</v>
      </c>
      <c r="B175">
        <v>350000</v>
      </c>
    </row>
    <row r="176" spans="1:2" x14ac:dyDescent="0.3">
      <c r="A176">
        <v>1100000</v>
      </c>
      <c r="B176">
        <v>850000</v>
      </c>
    </row>
    <row r="177" spans="1:2" x14ac:dyDescent="0.3">
      <c r="A177">
        <v>1200000</v>
      </c>
      <c r="B177">
        <v>400000</v>
      </c>
    </row>
    <row r="178" spans="1:2" x14ac:dyDescent="0.3">
      <c r="A178">
        <v>1500000</v>
      </c>
      <c r="B178">
        <v>800000</v>
      </c>
    </row>
    <row r="179" spans="1:2" x14ac:dyDescent="0.3">
      <c r="A179">
        <v>300000</v>
      </c>
      <c r="B179">
        <v>900000</v>
      </c>
    </row>
    <row r="180" spans="1:2" x14ac:dyDescent="0.3">
      <c r="A180">
        <v>900000</v>
      </c>
      <c r="B180">
        <v>700000</v>
      </c>
    </row>
    <row r="181" spans="1:2" x14ac:dyDescent="0.3">
      <c r="A181">
        <v>1450000</v>
      </c>
      <c r="B181">
        <v>1050000</v>
      </c>
    </row>
    <row r="182" spans="1:2" x14ac:dyDescent="0.3">
      <c r="A182">
        <v>500000</v>
      </c>
      <c r="B182">
        <v>950000</v>
      </c>
    </row>
    <row r="183" spans="1:2" x14ac:dyDescent="0.3">
      <c r="A183">
        <v>1250000</v>
      </c>
      <c r="B183">
        <v>350000</v>
      </c>
    </row>
    <row r="184" spans="1:2" x14ac:dyDescent="0.3">
      <c r="A184">
        <v>1350000</v>
      </c>
      <c r="B184">
        <v>800000</v>
      </c>
    </row>
    <row r="185" spans="1:2" x14ac:dyDescent="0.3">
      <c r="A185">
        <v>1700000</v>
      </c>
      <c r="B185">
        <v>750000</v>
      </c>
    </row>
    <row r="186" spans="1:2" x14ac:dyDescent="0.3">
      <c r="A186">
        <v>800000</v>
      </c>
      <c r="B186">
        <v>600000</v>
      </c>
    </row>
    <row r="187" spans="1:2" x14ac:dyDescent="0.3">
      <c r="A187">
        <v>1300000</v>
      </c>
      <c r="B187">
        <v>750000</v>
      </c>
    </row>
    <row r="188" spans="1:2" x14ac:dyDescent="0.3">
      <c r="A188">
        <v>450000</v>
      </c>
      <c r="B188">
        <v>600000</v>
      </c>
    </row>
    <row r="189" spans="1:2" x14ac:dyDescent="0.3">
      <c r="A189">
        <v>1350000</v>
      </c>
      <c r="B189">
        <v>1200000</v>
      </c>
    </row>
    <row r="190" spans="1:2" x14ac:dyDescent="0.3">
      <c r="A190">
        <v>600000</v>
      </c>
      <c r="B190">
        <v>1100000</v>
      </c>
    </row>
    <row r="191" spans="1:2" x14ac:dyDescent="0.3">
      <c r="A191">
        <v>1500000</v>
      </c>
      <c r="B191">
        <v>500000</v>
      </c>
    </row>
    <row r="192" spans="1:2" x14ac:dyDescent="0.3">
      <c r="A192">
        <v>1400000</v>
      </c>
      <c r="B192">
        <v>900000</v>
      </c>
    </row>
    <row r="193" spans="1:2" x14ac:dyDescent="0.3">
      <c r="A193">
        <v>1400000</v>
      </c>
      <c r="B193">
        <v>1300000</v>
      </c>
    </row>
    <row r="194" spans="1:2" x14ac:dyDescent="0.3">
      <c r="A194">
        <v>1200000</v>
      </c>
      <c r="B194">
        <v>850000</v>
      </c>
    </row>
    <row r="195" spans="1:2" x14ac:dyDescent="0.3">
      <c r="A195">
        <v>1400000</v>
      </c>
      <c r="B195">
        <v>1200000</v>
      </c>
    </row>
    <row r="196" spans="1:2" x14ac:dyDescent="0.3">
      <c r="A196">
        <v>550000</v>
      </c>
      <c r="B196">
        <v>550000</v>
      </c>
    </row>
    <row r="197" spans="1:2" x14ac:dyDescent="0.3">
      <c r="A197">
        <v>800000</v>
      </c>
      <c r="B197">
        <v>350000</v>
      </c>
    </row>
    <row r="198" spans="1:2" x14ac:dyDescent="0.3">
      <c r="A198">
        <v>900000</v>
      </c>
      <c r="B198">
        <v>450000</v>
      </c>
    </row>
    <row r="199" spans="1:2" x14ac:dyDescent="0.3">
      <c r="A199">
        <v>1400000</v>
      </c>
      <c r="B199">
        <v>850000</v>
      </c>
    </row>
    <row r="200" spans="1:2" x14ac:dyDescent="0.3">
      <c r="A200">
        <v>500000</v>
      </c>
      <c r="B200">
        <v>300000</v>
      </c>
    </row>
    <row r="201" spans="1:2" x14ac:dyDescent="0.3">
      <c r="A201">
        <v>500000</v>
      </c>
      <c r="B201">
        <v>1050000</v>
      </c>
    </row>
    <row r="202" spans="1:2" x14ac:dyDescent="0.3">
      <c r="A202">
        <v>1400000</v>
      </c>
      <c r="B202">
        <v>1250000</v>
      </c>
    </row>
    <row r="203" spans="1:2" x14ac:dyDescent="0.3">
      <c r="A203">
        <v>900000</v>
      </c>
      <c r="B203">
        <v>1150000</v>
      </c>
    </row>
    <row r="204" spans="1:2" x14ac:dyDescent="0.3">
      <c r="A204">
        <v>800000</v>
      </c>
      <c r="B204">
        <v>1000000</v>
      </c>
    </row>
    <row r="205" spans="1:2" x14ac:dyDescent="0.3">
      <c r="A205">
        <v>1400000</v>
      </c>
      <c r="B205">
        <v>550000</v>
      </c>
    </row>
    <row r="206" spans="1:2" x14ac:dyDescent="0.3">
      <c r="A206">
        <v>1700000</v>
      </c>
      <c r="B206">
        <v>850000</v>
      </c>
    </row>
    <row r="207" spans="1:2" x14ac:dyDescent="0.3">
      <c r="A207">
        <v>1350000</v>
      </c>
      <c r="B207">
        <v>300000</v>
      </c>
    </row>
    <row r="208" spans="1:2" x14ac:dyDescent="0.3">
      <c r="A208">
        <v>800000</v>
      </c>
      <c r="B208">
        <v>950000</v>
      </c>
    </row>
    <row r="209" spans="1:2" x14ac:dyDescent="0.3">
      <c r="A209">
        <v>1500000</v>
      </c>
      <c r="B209">
        <v>800000</v>
      </c>
    </row>
    <row r="210" spans="1:2" x14ac:dyDescent="0.3">
      <c r="A210">
        <v>1500000</v>
      </c>
      <c r="B210">
        <v>500000</v>
      </c>
    </row>
    <row r="211" spans="1:2" x14ac:dyDescent="0.3">
      <c r="A211">
        <v>1400000</v>
      </c>
      <c r="B211">
        <v>750000</v>
      </c>
    </row>
    <row r="212" spans="1:2" x14ac:dyDescent="0.3">
      <c r="A212">
        <v>1250000</v>
      </c>
      <c r="B212">
        <v>300000</v>
      </c>
    </row>
    <row r="213" spans="1:2" x14ac:dyDescent="0.3">
      <c r="A213">
        <v>800000</v>
      </c>
      <c r="B213">
        <v>1250000</v>
      </c>
    </row>
    <row r="214" spans="1:2" x14ac:dyDescent="0.3">
      <c r="A214">
        <v>700000</v>
      </c>
      <c r="B214">
        <v>1150000</v>
      </c>
    </row>
    <row r="215" spans="1:2" x14ac:dyDescent="0.3">
      <c r="A215">
        <v>550000</v>
      </c>
      <c r="B215">
        <v>1300000</v>
      </c>
    </row>
    <row r="216" spans="1:2" x14ac:dyDescent="0.3">
      <c r="A216">
        <v>1650000</v>
      </c>
      <c r="B216">
        <v>1100000</v>
      </c>
    </row>
    <row r="217" spans="1:2" x14ac:dyDescent="0.3">
      <c r="A217">
        <v>1100000</v>
      </c>
      <c r="B217">
        <v>800000</v>
      </c>
    </row>
    <row r="218" spans="1:2" x14ac:dyDescent="0.3">
      <c r="A218">
        <v>1400000</v>
      </c>
      <c r="B218">
        <v>1400000</v>
      </c>
    </row>
    <row r="219" spans="1:2" x14ac:dyDescent="0.3">
      <c r="A219">
        <v>1400000</v>
      </c>
      <c r="B219">
        <v>350000</v>
      </c>
    </row>
    <row r="220" spans="1:2" x14ac:dyDescent="0.3">
      <c r="A220">
        <v>1450000</v>
      </c>
      <c r="B220">
        <v>550000</v>
      </c>
    </row>
    <row r="221" spans="1:2" x14ac:dyDescent="0.3">
      <c r="A221">
        <v>1300000</v>
      </c>
      <c r="B221">
        <v>600000</v>
      </c>
    </row>
    <row r="222" spans="1:2" x14ac:dyDescent="0.3">
      <c r="A222">
        <v>1400000</v>
      </c>
      <c r="B222">
        <v>1050000</v>
      </c>
    </row>
    <row r="223" spans="1:2" x14ac:dyDescent="0.3">
      <c r="A223">
        <v>1400000</v>
      </c>
      <c r="B223">
        <v>800000</v>
      </c>
    </row>
    <row r="224" spans="1:2" x14ac:dyDescent="0.3">
      <c r="A224">
        <v>800000</v>
      </c>
      <c r="B224">
        <v>550000</v>
      </c>
    </row>
    <row r="225" spans="1:2" x14ac:dyDescent="0.3">
      <c r="A225">
        <v>1200000</v>
      </c>
      <c r="B225">
        <v>1250000</v>
      </c>
    </row>
    <row r="226" spans="1:2" x14ac:dyDescent="0.3">
      <c r="A226">
        <v>1450000</v>
      </c>
      <c r="B226">
        <v>800000</v>
      </c>
    </row>
    <row r="227" spans="1:2" x14ac:dyDescent="0.3">
      <c r="A227">
        <v>800000</v>
      </c>
      <c r="B227">
        <v>1200000</v>
      </c>
    </row>
    <row r="228" spans="1:2" x14ac:dyDescent="0.3">
      <c r="A228">
        <v>1500000</v>
      </c>
      <c r="B228">
        <v>1300000</v>
      </c>
    </row>
    <row r="229" spans="1:2" x14ac:dyDescent="0.3">
      <c r="A229">
        <v>750000</v>
      </c>
      <c r="B229">
        <v>1400000</v>
      </c>
    </row>
    <row r="230" spans="1:2" x14ac:dyDescent="0.3">
      <c r="A230">
        <v>1700000</v>
      </c>
      <c r="B230">
        <v>500000</v>
      </c>
    </row>
    <row r="231" spans="1:2" x14ac:dyDescent="0.3">
      <c r="A231">
        <v>1100000</v>
      </c>
      <c r="B231">
        <v>950000</v>
      </c>
    </row>
    <row r="232" spans="1:2" x14ac:dyDescent="0.3">
      <c r="B232">
        <v>1200000</v>
      </c>
    </row>
    <row r="233" spans="1:2" x14ac:dyDescent="0.3">
      <c r="B233">
        <v>300000</v>
      </c>
    </row>
    <row r="234" spans="1:2" x14ac:dyDescent="0.3">
      <c r="B234">
        <v>1000000</v>
      </c>
    </row>
    <row r="235" spans="1:2" x14ac:dyDescent="0.3">
      <c r="B235">
        <v>500000</v>
      </c>
    </row>
    <row r="236" spans="1:2" x14ac:dyDescent="0.3">
      <c r="B236">
        <v>1000000</v>
      </c>
    </row>
    <row r="237" spans="1:2" x14ac:dyDescent="0.3">
      <c r="B237">
        <v>1150000</v>
      </c>
    </row>
    <row r="238" spans="1:2" x14ac:dyDescent="0.3">
      <c r="B238">
        <v>550000</v>
      </c>
    </row>
    <row r="239" spans="1:2" x14ac:dyDescent="0.3">
      <c r="B239">
        <v>700000</v>
      </c>
    </row>
    <row r="240" spans="1:2" x14ac:dyDescent="0.3">
      <c r="B240">
        <v>1300000</v>
      </c>
    </row>
    <row r="241" spans="2:2" x14ac:dyDescent="0.3">
      <c r="B241">
        <v>1200000</v>
      </c>
    </row>
    <row r="242" spans="2:2" x14ac:dyDescent="0.3">
      <c r="B242">
        <v>300000</v>
      </c>
    </row>
    <row r="243" spans="2:2" x14ac:dyDescent="0.3">
      <c r="B243">
        <v>1300000</v>
      </c>
    </row>
    <row r="244" spans="2:2" x14ac:dyDescent="0.3">
      <c r="B244">
        <v>800000</v>
      </c>
    </row>
    <row r="245" spans="2:2" x14ac:dyDescent="0.3">
      <c r="B245">
        <v>900000</v>
      </c>
    </row>
    <row r="246" spans="2:2" x14ac:dyDescent="0.3">
      <c r="B246">
        <v>350000</v>
      </c>
    </row>
    <row r="247" spans="2:2" x14ac:dyDescent="0.3">
      <c r="B247">
        <v>900000</v>
      </c>
    </row>
    <row r="248" spans="2:2" x14ac:dyDescent="0.3">
      <c r="B248">
        <v>600000</v>
      </c>
    </row>
    <row r="249" spans="2:2" x14ac:dyDescent="0.3">
      <c r="B249">
        <v>1100000</v>
      </c>
    </row>
    <row r="250" spans="2:2" x14ac:dyDescent="0.3">
      <c r="B250">
        <v>1300000</v>
      </c>
    </row>
    <row r="251" spans="2:2" x14ac:dyDescent="0.3">
      <c r="B251">
        <v>1200000</v>
      </c>
    </row>
    <row r="252" spans="2:2" x14ac:dyDescent="0.3">
      <c r="B252">
        <v>1200000</v>
      </c>
    </row>
    <row r="253" spans="2:2" x14ac:dyDescent="0.3">
      <c r="B253">
        <v>1100000</v>
      </c>
    </row>
    <row r="254" spans="2:2" x14ac:dyDescent="0.3">
      <c r="B254">
        <v>600000</v>
      </c>
    </row>
    <row r="255" spans="2:2" x14ac:dyDescent="0.3">
      <c r="B255">
        <v>1000000</v>
      </c>
    </row>
    <row r="256" spans="2:2" x14ac:dyDescent="0.3">
      <c r="B256">
        <v>300000</v>
      </c>
    </row>
    <row r="257" spans="2:2" x14ac:dyDescent="0.3">
      <c r="B257">
        <v>550000</v>
      </c>
    </row>
    <row r="258" spans="2:2" x14ac:dyDescent="0.3">
      <c r="B258">
        <v>1050000</v>
      </c>
    </row>
    <row r="259" spans="2:2" x14ac:dyDescent="0.3">
      <c r="B259">
        <v>800000</v>
      </c>
    </row>
    <row r="260" spans="2:2" x14ac:dyDescent="0.3">
      <c r="B260">
        <v>750000</v>
      </c>
    </row>
    <row r="261" spans="2:2" x14ac:dyDescent="0.3">
      <c r="B261">
        <v>1250000</v>
      </c>
    </row>
    <row r="262" spans="2:2" x14ac:dyDescent="0.3">
      <c r="B262">
        <v>800000</v>
      </c>
    </row>
    <row r="263" spans="2:2" x14ac:dyDescent="0.3">
      <c r="B263">
        <v>1200000</v>
      </c>
    </row>
    <row r="264" spans="2:2" x14ac:dyDescent="0.3">
      <c r="B264">
        <v>700000</v>
      </c>
    </row>
    <row r="265" spans="2:2" x14ac:dyDescent="0.3">
      <c r="B265">
        <v>1250000</v>
      </c>
    </row>
    <row r="266" spans="2:2" x14ac:dyDescent="0.3">
      <c r="B266">
        <v>800000</v>
      </c>
    </row>
    <row r="267" spans="2:2" x14ac:dyDescent="0.3">
      <c r="B267">
        <v>850000</v>
      </c>
    </row>
    <row r="268" spans="2:2" x14ac:dyDescent="0.3">
      <c r="B268">
        <v>350000</v>
      </c>
    </row>
    <row r="269" spans="2:2" x14ac:dyDescent="0.3">
      <c r="B269">
        <v>700000</v>
      </c>
    </row>
    <row r="270" spans="2:2" x14ac:dyDescent="0.3">
      <c r="B270">
        <v>550000</v>
      </c>
    </row>
    <row r="271" spans="2:2" x14ac:dyDescent="0.3">
      <c r="B271">
        <v>600000</v>
      </c>
    </row>
    <row r="272" spans="2:2" x14ac:dyDescent="0.3">
      <c r="B272">
        <v>300000</v>
      </c>
    </row>
    <row r="273" spans="2:2" x14ac:dyDescent="0.3">
      <c r="B273">
        <v>600000</v>
      </c>
    </row>
    <row r="274" spans="2:2" x14ac:dyDescent="0.3">
      <c r="B274">
        <v>1000000</v>
      </c>
    </row>
    <row r="275" spans="2:2" x14ac:dyDescent="0.3">
      <c r="B275">
        <v>1150000</v>
      </c>
    </row>
    <row r="276" spans="2:2" x14ac:dyDescent="0.3">
      <c r="B276">
        <v>1050000</v>
      </c>
    </row>
    <row r="277" spans="2:2" x14ac:dyDescent="0.3">
      <c r="B277">
        <v>300000</v>
      </c>
    </row>
    <row r="278" spans="2:2" x14ac:dyDescent="0.3">
      <c r="B278">
        <v>350000</v>
      </c>
    </row>
    <row r="279" spans="2:2" x14ac:dyDescent="0.3">
      <c r="B279">
        <v>500000</v>
      </c>
    </row>
    <row r="280" spans="2:2" x14ac:dyDescent="0.3">
      <c r="B280">
        <v>700000</v>
      </c>
    </row>
    <row r="281" spans="2:2" x14ac:dyDescent="0.3">
      <c r="B281">
        <v>350000</v>
      </c>
    </row>
    <row r="282" spans="2:2" x14ac:dyDescent="0.3">
      <c r="B282">
        <v>500000</v>
      </c>
    </row>
    <row r="283" spans="2:2" x14ac:dyDescent="0.3">
      <c r="B283">
        <v>500000</v>
      </c>
    </row>
    <row r="284" spans="2:2" x14ac:dyDescent="0.3">
      <c r="B284">
        <v>1100000</v>
      </c>
    </row>
    <row r="285" spans="2:2" x14ac:dyDescent="0.3">
      <c r="B285">
        <v>1200000</v>
      </c>
    </row>
    <row r="286" spans="2:2" x14ac:dyDescent="0.3">
      <c r="B286">
        <v>800000</v>
      </c>
    </row>
    <row r="287" spans="2:2" x14ac:dyDescent="0.3">
      <c r="B287">
        <v>400000</v>
      </c>
    </row>
    <row r="288" spans="2:2" x14ac:dyDescent="0.3">
      <c r="B288">
        <v>800000</v>
      </c>
    </row>
    <row r="289" spans="2:2" x14ac:dyDescent="0.3">
      <c r="B289">
        <v>1100000</v>
      </c>
    </row>
    <row r="290" spans="2:2" x14ac:dyDescent="0.3">
      <c r="B290">
        <v>1050000</v>
      </c>
    </row>
    <row r="291" spans="2:2" x14ac:dyDescent="0.3">
      <c r="B291">
        <v>700000</v>
      </c>
    </row>
    <row r="292" spans="2:2" x14ac:dyDescent="0.3">
      <c r="B292">
        <v>500000</v>
      </c>
    </row>
    <row r="293" spans="2:2" x14ac:dyDescent="0.3">
      <c r="B293">
        <v>1250000</v>
      </c>
    </row>
    <row r="294" spans="2:2" x14ac:dyDescent="0.3">
      <c r="B294">
        <v>800000</v>
      </c>
    </row>
    <row r="295" spans="2:2" x14ac:dyDescent="0.3">
      <c r="B295">
        <v>1100000</v>
      </c>
    </row>
    <row r="296" spans="2:2" x14ac:dyDescent="0.3">
      <c r="B296">
        <v>300000</v>
      </c>
    </row>
    <row r="297" spans="2:2" x14ac:dyDescent="0.3">
      <c r="B297">
        <v>1100000</v>
      </c>
    </row>
    <row r="298" spans="2:2" x14ac:dyDescent="0.3">
      <c r="B298">
        <v>1150000</v>
      </c>
    </row>
    <row r="299" spans="2:2" x14ac:dyDescent="0.3">
      <c r="B299">
        <v>750000</v>
      </c>
    </row>
    <row r="300" spans="2:2" x14ac:dyDescent="0.3">
      <c r="B300">
        <v>1250000</v>
      </c>
    </row>
    <row r="301" spans="2:2" x14ac:dyDescent="0.3">
      <c r="B301">
        <v>750000</v>
      </c>
    </row>
    <row r="302" spans="2:2" x14ac:dyDescent="0.3">
      <c r="B302">
        <v>550000</v>
      </c>
    </row>
    <row r="303" spans="2:2" x14ac:dyDescent="0.3">
      <c r="B303">
        <v>500000</v>
      </c>
    </row>
    <row r="304" spans="2:2" x14ac:dyDescent="0.3">
      <c r="B304">
        <v>1200000</v>
      </c>
    </row>
    <row r="305" spans="2:2" x14ac:dyDescent="0.3">
      <c r="B305">
        <v>1300000</v>
      </c>
    </row>
    <row r="306" spans="2:2" x14ac:dyDescent="0.3">
      <c r="B306">
        <v>1250000</v>
      </c>
    </row>
    <row r="307" spans="2:2" x14ac:dyDescent="0.3">
      <c r="B307">
        <v>300000</v>
      </c>
    </row>
    <row r="308" spans="2:2" x14ac:dyDescent="0.3">
      <c r="B308">
        <v>1100000</v>
      </c>
    </row>
    <row r="309" spans="2:2" x14ac:dyDescent="0.3">
      <c r="B309">
        <v>900000</v>
      </c>
    </row>
    <row r="310" spans="2:2" x14ac:dyDescent="0.3">
      <c r="B310">
        <v>1300000</v>
      </c>
    </row>
    <row r="311" spans="2:2" x14ac:dyDescent="0.3">
      <c r="B311">
        <v>1100000</v>
      </c>
    </row>
    <row r="312" spans="2:2" x14ac:dyDescent="0.3">
      <c r="B312">
        <v>850000</v>
      </c>
    </row>
    <row r="313" spans="2:2" x14ac:dyDescent="0.3">
      <c r="B313">
        <v>1150000</v>
      </c>
    </row>
    <row r="314" spans="2:2" x14ac:dyDescent="0.3">
      <c r="B314">
        <v>450000</v>
      </c>
    </row>
    <row r="315" spans="2:2" x14ac:dyDescent="0.3">
      <c r="B315">
        <v>550000</v>
      </c>
    </row>
    <row r="316" spans="2:2" x14ac:dyDescent="0.3">
      <c r="B316">
        <v>300000</v>
      </c>
    </row>
    <row r="317" spans="2:2" x14ac:dyDescent="0.3">
      <c r="B317">
        <v>800000</v>
      </c>
    </row>
    <row r="318" spans="2:2" x14ac:dyDescent="0.3">
      <c r="B318">
        <v>1200000</v>
      </c>
    </row>
    <row r="319" spans="2:2" x14ac:dyDescent="0.3">
      <c r="B319">
        <v>500000</v>
      </c>
    </row>
    <row r="320" spans="2:2" x14ac:dyDescent="0.3">
      <c r="B320">
        <v>1050000</v>
      </c>
    </row>
    <row r="321" spans="2:2" x14ac:dyDescent="0.3">
      <c r="B321">
        <v>1300000</v>
      </c>
    </row>
    <row r="322" spans="2:2" x14ac:dyDescent="0.3">
      <c r="B322">
        <v>1200000</v>
      </c>
    </row>
    <row r="323" spans="2:2" x14ac:dyDescent="0.3">
      <c r="B323">
        <v>600000</v>
      </c>
    </row>
    <row r="324" spans="2:2" x14ac:dyDescent="0.3">
      <c r="B324">
        <v>600000</v>
      </c>
    </row>
    <row r="325" spans="2:2" x14ac:dyDescent="0.3">
      <c r="B325">
        <v>350000</v>
      </c>
    </row>
    <row r="326" spans="2:2" x14ac:dyDescent="0.3">
      <c r="B326">
        <v>1250000</v>
      </c>
    </row>
    <row r="327" spans="2:2" x14ac:dyDescent="0.3">
      <c r="B327">
        <v>1300000</v>
      </c>
    </row>
    <row r="328" spans="2:2" x14ac:dyDescent="0.3">
      <c r="B328">
        <v>500000</v>
      </c>
    </row>
    <row r="329" spans="2:2" x14ac:dyDescent="0.3">
      <c r="B329">
        <v>800000</v>
      </c>
    </row>
    <row r="330" spans="2:2" x14ac:dyDescent="0.3">
      <c r="B330">
        <v>600000</v>
      </c>
    </row>
    <row r="331" spans="2:2" x14ac:dyDescent="0.3">
      <c r="B331">
        <v>800000</v>
      </c>
    </row>
    <row r="332" spans="2:2" x14ac:dyDescent="0.3">
      <c r="B332">
        <v>950000</v>
      </c>
    </row>
    <row r="333" spans="2:2" x14ac:dyDescent="0.3">
      <c r="B333">
        <v>1250000</v>
      </c>
    </row>
    <row r="334" spans="2:2" x14ac:dyDescent="0.3">
      <c r="B334">
        <v>1100000</v>
      </c>
    </row>
    <row r="335" spans="2:2" x14ac:dyDescent="0.3">
      <c r="B335">
        <v>850000</v>
      </c>
    </row>
    <row r="336" spans="2:2" x14ac:dyDescent="0.3">
      <c r="B336">
        <v>850000</v>
      </c>
    </row>
    <row r="337" spans="2:2" x14ac:dyDescent="0.3">
      <c r="B337">
        <v>1250000</v>
      </c>
    </row>
    <row r="338" spans="2:2" x14ac:dyDescent="0.3">
      <c r="B338">
        <v>1100000</v>
      </c>
    </row>
    <row r="339" spans="2:2" x14ac:dyDescent="0.3">
      <c r="B339">
        <v>1100000</v>
      </c>
    </row>
    <row r="340" spans="2:2" x14ac:dyDescent="0.3">
      <c r="B340">
        <v>400000</v>
      </c>
    </row>
    <row r="341" spans="2:2" x14ac:dyDescent="0.3">
      <c r="B341">
        <v>800000</v>
      </c>
    </row>
    <row r="342" spans="2:2" x14ac:dyDescent="0.3">
      <c r="B342">
        <v>500000</v>
      </c>
    </row>
    <row r="343" spans="2:2" x14ac:dyDescent="0.3">
      <c r="B343">
        <v>1100000</v>
      </c>
    </row>
    <row r="344" spans="2:2" x14ac:dyDescent="0.3">
      <c r="B344">
        <v>700000</v>
      </c>
    </row>
    <row r="345" spans="2:2" x14ac:dyDescent="0.3">
      <c r="B345">
        <v>1150000</v>
      </c>
    </row>
    <row r="346" spans="2:2" x14ac:dyDescent="0.3">
      <c r="B346">
        <v>1250000</v>
      </c>
    </row>
    <row r="347" spans="2:2" x14ac:dyDescent="0.3">
      <c r="B347">
        <v>900000</v>
      </c>
    </row>
    <row r="348" spans="2:2" x14ac:dyDescent="0.3">
      <c r="B348">
        <v>1150000</v>
      </c>
    </row>
    <row r="349" spans="2:2" x14ac:dyDescent="0.3">
      <c r="B349">
        <v>600000</v>
      </c>
    </row>
    <row r="350" spans="2:2" x14ac:dyDescent="0.3">
      <c r="B350">
        <v>500000</v>
      </c>
    </row>
    <row r="351" spans="2:2" x14ac:dyDescent="0.3">
      <c r="B351">
        <v>1150000</v>
      </c>
    </row>
    <row r="352" spans="2:2" x14ac:dyDescent="0.3">
      <c r="B352">
        <v>400000</v>
      </c>
    </row>
    <row r="353" spans="2:2" x14ac:dyDescent="0.3">
      <c r="B353">
        <v>1200000</v>
      </c>
    </row>
    <row r="354" spans="2:2" x14ac:dyDescent="0.3">
      <c r="B354">
        <v>600000</v>
      </c>
    </row>
    <row r="355" spans="2:2" x14ac:dyDescent="0.3">
      <c r="B355">
        <v>850000</v>
      </c>
    </row>
    <row r="356" spans="2:2" x14ac:dyDescent="0.3">
      <c r="B356">
        <v>400000</v>
      </c>
    </row>
    <row r="357" spans="2:2" x14ac:dyDescent="0.3">
      <c r="B357">
        <v>600000</v>
      </c>
    </row>
    <row r="358" spans="2:2" x14ac:dyDescent="0.3">
      <c r="B358">
        <v>550000</v>
      </c>
    </row>
    <row r="359" spans="2:2" x14ac:dyDescent="0.3">
      <c r="B359">
        <v>850000</v>
      </c>
    </row>
    <row r="360" spans="2:2" x14ac:dyDescent="0.3">
      <c r="B360">
        <v>300000</v>
      </c>
    </row>
    <row r="361" spans="2:2" x14ac:dyDescent="0.3">
      <c r="B361">
        <v>1050000</v>
      </c>
    </row>
    <row r="362" spans="2:2" x14ac:dyDescent="0.3">
      <c r="B362">
        <v>1050000</v>
      </c>
    </row>
    <row r="363" spans="2:2" x14ac:dyDescent="0.3">
      <c r="B363">
        <v>1400000</v>
      </c>
    </row>
    <row r="364" spans="2:2" x14ac:dyDescent="0.3">
      <c r="B364">
        <v>800000</v>
      </c>
    </row>
    <row r="365" spans="2:2" x14ac:dyDescent="0.3">
      <c r="B365">
        <v>1750000</v>
      </c>
    </row>
    <row r="366" spans="2:2" x14ac:dyDescent="0.3">
      <c r="B366">
        <v>550000</v>
      </c>
    </row>
    <row r="367" spans="2:2" x14ac:dyDescent="0.3">
      <c r="B367">
        <v>1050000</v>
      </c>
    </row>
    <row r="368" spans="2:2" x14ac:dyDescent="0.3">
      <c r="B368">
        <v>850000</v>
      </c>
    </row>
    <row r="369" spans="2:2" x14ac:dyDescent="0.3">
      <c r="B369">
        <v>1050000</v>
      </c>
    </row>
    <row r="370" spans="2:2" x14ac:dyDescent="0.3">
      <c r="B370">
        <v>1000000</v>
      </c>
    </row>
    <row r="371" spans="2:2" x14ac:dyDescent="0.3">
      <c r="B371">
        <v>900000</v>
      </c>
    </row>
    <row r="372" spans="2:2" x14ac:dyDescent="0.3">
      <c r="B372">
        <v>800000</v>
      </c>
    </row>
    <row r="373" spans="2:2" x14ac:dyDescent="0.3">
      <c r="B373">
        <v>850000</v>
      </c>
    </row>
    <row r="374" spans="2:2" x14ac:dyDescent="0.3">
      <c r="B374">
        <v>800000</v>
      </c>
    </row>
    <row r="375" spans="2:2" x14ac:dyDescent="0.3">
      <c r="B375">
        <v>500000</v>
      </c>
    </row>
    <row r="376" spans="2:2" x14ac:dyDescent="0.3">
      <c r="B376">
        <v>1150000</v>
      </c>
    </row>
    <row r="377" spans="2:2" x14ac:dyDescent="0.3">
      <c r="B377">
        <v>850000</v>
      </c>
    </row>
    <row r="378" spans="2:2" x14ac:dyDescent="0.3">
      <c r="B378">
        <v>550000</v>
      </c>
    </row>
    <row r="379" spans="2:2" x14ac:dyDescent="0.3">
      <c r="B379">
        <v>350000</v>
      </c>
    </row>
    <row r="380" spans="2:2" x14ac:dyDescent="0.3">
      <c r="B380">
        <v>1150000</v>
      </c>
    </row>
    <row r="381" spans="2:2" x14ac:dyDescent="0.3">
      <c r="B381">
        <v>1000000</v>
      </c>
    </row>
    <row r="382" spans="2:2" x14ac:dyDescent="0.3">
      <c r="B382">
        <v>400000</v>
      </c>
    </row>
    <row r="383" spans="2:2" x14ac:dyDescent="0.3">
      <c r="B383">
        <v>1250000</v>
      </c>
    </row>
    <row r="384" spans="2:2" x14ac:dyDescent="0.3">
      <c r="B384">
        <v>700000</v>
      </c>
    </row>
    <row r="385" spans="2:2" x14ac:dyDescent="0.3">
      <c r="B385">
        <v>1100000</v>
      </c>
    </row>
    <row r="386" spans="2:2" x14ac:dyDescent="0.3">
      <c r="B386">
        <v>900000</v>
      </c>
    </row>
    <row r="387" spans="2:2" x14ac:dyDescent="0.3">
      <c r="B387">
        <v>300000</v>
      </c>
    </row>
    <row r="388" spans="2:2" x14ac:dyDescent="0.3">
      <c r="B388">
        <v>500000</v>
      </c>
    </row>
    <row r="389" spans="2:2" x14ac:dyDescent="0.3">
      <c r="B389">
        <v>1150000</v>
      </c>
    </row>
    <row r="390" spans="2:2" x14ac:dyDescent="0.3">
      <c r="B390">
        <v>600000</v>
      </c>
    </row>
    <row r="391" spans="2:2" x14ac:dyDescent="0.3">
      <c r="B391">
        <v>550000</v>
      </c>
    </row>
    <row r="392" spans="2:2" x14ac:dyDescent="0.3">
      <c r="B392">
        <v>1150000</v>
      </c>
    </row>
    <row r="393" spans="2:2" x14ac:dyDescent="0.3">
      <c r="B393">
        <v>1000000</v>
      </c>
    </row>
    <row r="394" spans="2:2" x14ac:dyDescent="0.3">
      <c r="B394">
        <v>700000</v>
      </c>
    </row>
    <row r="395" spans="2:2" x14ac:dyDescent="0.3">
      <c r="B395">
        <v>1300000</v>
      </c>
    </row>
    <row r="396" spans="2:2" x14ac:dyDescent="0.3">
      <c r="B396">
        <v>350000</v>
      </c>
    </row>
    <row r="397" spans="2:2" x14ac:dyDescent="0.3">
      <c r="B397">
        <v>800000</v>
      </c>
    </row>
    <row r="398" spans="2:2" x14ac:dyDescent="0.3">
      <c r="B398">
        <v>550000</v>
      </c>
    </row>
    <row r="399" spans="2:2" x14ac:dyDescent="0.3">
      <c r="B399">
        <v>900000</v>
      </c>
    </row>
    <row r="400" spans="2:2" x14ac:dyDescent="0.3">
      <c r="B400">
        <v>500000</v>
      </c>
    </row>
    <row r="401" spans="2:2" x14ac:dyDescent="0.3">
      <c r="B401">
        <v>550000</v>
      </c>
    </row>
    <row r="402" spans="2:2" x14ac:dyDescent="0.3">
      <c r="B402">
        <v>1250000</v>
      </c>
    </row>
    <row r="403" spans="2:2" x14ac:dyDescent="0.3">
      <c r="B403">
        <v>1000000</v>
      </c>
    </row>
    <row r="404" spans="2:2" x14ac:dyDescent="0.3">
      <c r="B404">
        <v>300000</v>
      </c>
    </row>
    <row r="405" spans="2:2" x14ac:dyDescent="0.3">
      <c r="B405">
        <v>750000</v>
      </c>
    </row>
    <row r="406" spans="2:2" x14ac:dyDescent="0.3">
      <c r="B406">
        <v>1050000</v>
      </c>
    </row>
    <row r="407" spans="2:2" x14ac:dyDescent="0.3">
      <c r="B407">
        <v>650000</v>
      </c>
    </row>
    <row r="408" spans="2:2" x14ac:dyDescent="0.3">
      <c r="B408">
        <v>800000</v>
      </c>
    </row>
    <row r="409" spans="2:2" x14ac:dyDescent="0.3">
      <c r="B409">
        <v>1100000</v>
      </c>
    </row>
    <row r="410" spans="2:2" x14ac:dyDescent="0.3">
      <c r="B410">
        <v>1000000</v>
      </c>
    </row>
    <row r="411" spans="2:2" x14ac:dyDescent="0.3">
      <c r="B411">
        <v>1750000</v>
      </c>
    </row>
    <row r="412" spans="2:2" x14ac:dyDescent="0.3">
      <c r="B412">
        <v>1100000</v>
      </c>
    </row>
    <row r="413" spans="2:2" x14ac:dyDescent="0.3">
      <c r="B413">
        <v>500000</v>
      </c>
    </row>
    <row r="414" spans="2:2" x14ac:dyDescent="0.3">
      <c r="B414">
        <v>1150000</v>
      </c>
    </row>
    <row r="415" spans="2:2" x14ac:dyDescent="0.3">
      <c r="B415">
        <v>600000</v>
      </c>
    </row>
    <row r="416" spans="2:2" x14ac:dyDescent="0.3">
      <c r="B416">
        <v>1100000</v>
      </c>
    </row>
    <row r="417" spans="2:2" x14ac:dyDescent="0.3">
      <c r="B417">
        <v>700000</v>
      </c>
    </row>
    <row r="418" spans="2:2" x14ac:dyDescent="0.3">
      <c r="B418">
        <v>700000</v>
      </c>
    </row>
    <row r="419" spans="2:2" x14ac:dyDescent="0.3">
      <c r="B419">
        <v>1300000</v>
      </c>
    </row>
    <row r="420" spans="2:2" x14ac:dyDescent="0.3">
      <c r="B420">
        <v>550000</v>
      </c>
    </row>
    <row r="421" spans="2:2" x14ac:dyDescent="0.3">
      <c r="B421">
        <v>1300000</v>
      </c>
    </row>
    <row r="422" spans="2:2" x14ac:dyDescent="0.3">
      <c r="B422">
        <v>1250000</v>
      </c>
    </row>
    <row r="423" spans="2:2" x14ac:dyDescent="0.3">
      <c r="B423">
        <v>800000</v>
      </c>
    </row>
    <row r="424" spans="2:2" x14ac:dyDescent="0.3">
      <c r="B424">
        <v>700000</v>
      </c>
    </row>
    <row r="425" spans="2:2" x14ac:dyDescent="0.3">
      <c r="B425">
        <v>500000</v>
      </c>
    </row>
    <row r="426" spans="2:2" x14ac:dyDescent="0.3">
      <c r="B426">
        <v>1100000</v>
      </c>
    </row>
    <row r="427" spans="2:2" x14ac:dyDescent="0.3">
      <c r="B427">
        <v>800000</v>
      </c>
    </row>
    <row r="428" spans="2:2" x14ac:dyDescent="0.3">
      <c r="B428">
        <v>1100000</v>
      </c>
    </row>
    <row r="429" spans="2:2" x14ac:dyDescent="0.3">
      <c r="B429">
        <v>1100000</v>
      </c>
    </row>
    <row r="430" spans="2:2" x14ac:dyDescent="0.3">
      <c r="B430">
        <v>800000</v>
      </c>
    </row>
    <row r="431" spans="2:2" x14ac:dyDescent="0.3">
      <c r="B431">
        <v>300000</v>
      </c>
    </row>
    <row r="432" spans="2:2" x14ac:dyDescent="0.3">
      <c r="B432">
        <v>500000</v>
      </c>
    </row>
    <row r="433" spans="2:2" x14ac:dyDescent="0.3">
      <c r="B433">
        <v>1750000</v>
      </c>
    </row>
    <row r="434" spans="2:2" x14ac:dyDescent="0.3">
      <c r="B434">
        <v>700000</v>
      </c>
    </row>
    <row r="435" spans="2:2" x14ac:dyDescent="0.3">
      <c r="B435">
        <v>500000</v>
      </c>
    </row>
    <row r="436" spans="2:2" x14ac:dyDescent="0.3">
      <c r="B436">
        <v>500000</v>
      </c>
    </row>
    <row r="437" spans="2:2" x14ac:dyDescent="0.3">
      <c r="B437">
        <v>300000</v>
      </c>
    </row>
    <row r="438" spans="2:2" x14ac:dyDescent="0.3">
      <c r="B438">
        <v>300000</v>
      </c>
    </row>
    <row r="439" spans="2:2" x14ac:dyDescent="0.3">
      <c r="B439">
        <v>500000</v>
      </c>
    </row>
    <row r="440" spans="2:2" x14ac:dyDescent="0.3">
      <c r="B440">
        <v>1250000</v>
      </c>
    </row>
    <row r="441" spans="2:2" x14ac:dyDescent="0.3">
      <c r="B441">
        <v>800000</v>
      </c>
    </row>
    <row r="442" spans="2:2" x14ac:dyDescent="0.3">
      <c r="B442">
        <v>1300000</v>
      </c>
    </row>
    <row r="443" spans="2:2" x14ac:dyDescent="0.3">
      <c r="B443">
        <v>1000000</v>
      </c>
    </row>
    <row r="444" spans="2:2" x14ac:dyDescent="0.3">
      <c r="B444">
        <v>600000</v>
      </c>
    </row>
    <row r="445" spans="2:2" x14ac:dyDescent="0.3">
      <c r="B445">
        <v>800000</v>
      </c>
    </row>
    <row r="446" spans="2:2" x14ac:dyDescent="0.3">
      <c r="B446">
        <v>1100000</v>
      </c>
    </row>
    <row r="447" spans="2:2" x14ac:dyDescent="0.3">
      <c r="B447">
        <v>1050000</v>
      </c>
    </row>
    <row r="448" spans="2:2" x14ac:dyDescent="0.3">
      <c r="B448">
        <v>850000</v>
      </c>
    </row>
    <row r="449" spans="2:2" x14ac:dyDescent="0.3">
      <c r="B449">
        <v>350000</v>
      </c>
    </row>
    <row r="450" spans="2:2" x14ac:dyDescent="0.3">
      <c r="B450">
        <v>1200000</v>
      </c>
    </row>
    <row r="451" spans="2:2" x14ac:dyDescent="0.3">
      <c r="B451">
        <v>450000</v>
      </c>
    </row>
    <row r="452" spans="2:2" x14ac:dyDescent="0.3">
      <c r="B452">
        <v>500000</v>
      </c>
    </row>
    <row r="453" spans="2:2" x14ac:dyDescent="0.3">
      <c r="B453">
        <v>1200000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63CC-193A-400C-B87F-BADA8D9F5531}">
  <dimension ref="C2:L12"/>
  <sheetViews>
    <sheetView workbookViewId="0">
      <selection activeCell="J15" sqref="J15"/>
    </sheetView>
  </sheetViews>
  <sheetFormatPr defaultRowHeight="14.4" x14ac:dyDescent="0.3"/>
  <cols>
    <col min="3" max="3" width="21.5546875" customWidth="1"/>
    <col min="4" max="4" width="19.6640625" customWidth="1"/>
    <col min="5" max="5" width="23.21875" customWidth="1"/>
    <col min="6" max="6" width="13.88671875" customWidth="1"/>
    <col min="7" max="7" width="23.88671875" customWidth="1"/>
    <col min="8" max="8" width="16" customWidth="1"/>
    <col min="9" max="9" width="15.88671875" customWidth="1"/>
    <col min="10" max="10" width="15.77734375" customWidth="1"/>
    <col min="11" max="11" width="20.109375" customWidth="1"/>
    <col min="12" max="12" width="15.109375" customWidth="1"/>
  </cols>
  <sheetData>
    <row r="2" spans="3:12" ht="15" thickBot="1" x14ac:dyDescent="0.35"/>
    <row r="3" spans="3:12" x14ac:dyDescent="0.3">
      <c r="C3" s="18"/>
      <c r="D3" s="18" t="s">
        <v>2</v>
      </c>
      <c r="E3" s="18" t="s">
        <v>5</v>
      </c>
      <c r="F3" s="18" t="s">
        <v>6</v>
      </c>
      <c r="G3" s="18" t="s">
        <v>3</v>
      </c>
      <c r="H3" s="18" t="s">
        <v>4</v>
      </c>
      <c r="I3" s="18" t="s">
        <v>7</v>
      </c>
      <c r="J3" s="18" t="s">
        <v>8</v>
      </c>
      <c r="K3" s="18" t="s">
        <v>9</v>
      </c>
      <c r="L3" s="18" t="s">
        <v>10</v>
      </c>
    </row>
    <row r="4" spans="3:12" x14ac:dyDescent="0.3">
      <c r="C4" s="14" t="s">
        <v>2</v>
      </c>
      <c r="D4">
        <v>1</v>
      </c>
    </row>
    <row r="5" spans="3:12" x14ac:dyDescent="0.3">
      <c r="C5" s="14" t="s">
        <v>5</v>
      </c>
      <c r="D5">
        <v>-4.1554717673446928E-2</v>
      </c>
      <c r="E5">
        <v>1</v>
      </c>
    </row>
    <row r="6" spans="3:12" x14ac:dyDescent="0.3">
      <c r="C6" s="14" t="s">
        <v>6</v>
      </c>
      <c r="D6">
        <v>3.3924416852489474E-2</v>
      </c>
      <c r="E6">
        <v>-1.9116001914759099E-2</v>
      </c>
      <c r="F6">
        <v>1</v>
      </c>
    </row>
    <row r="7" spans="3:12" x14ac:dyDescent="0.3">
      <c r="C7" s="14" t="s">
        <v>3</v>
      </c>
      <c r="D7">
        <v>0.14706898773775307</v>
      </c>
      <c r="E7">
        <v>-0.33104067148480593</v>
      </c>
      <c r="F7">
        <v>-2.2662831432870107E-3</v>
      </c>
      <c r="G7">
        <v>1</v>
      </c>
    </row>
    <row r="8" spans="3:12" x14ac:dyDescent="0.3">
      <c r="C8" s="14" t="s">
        <v>4</v>
      </c>
      <c r="D8">
        <v>3.0291398989182892E-2</v>
      </c>
      <c r="E8">
        <v>0.10995915613433817</v>
      </c>
      <c r="F8">
        <v>5.7023706130743135E-3</v>
      </c>
      <c r="G8">
        <v>0.11578181911734781</v>
      </c>
      <c r="H8">
        <v>1</v>
      </c>
    </row>
    <row r="9" spans="3:12" x14ac:dyDescent="0.3">
      <c r="C9" s="14" t="s">
        <v>7</v>
      </c>
      <c r="D9">
        <v>5.1383268893309339E-2</v>
      </c>
      <c r="E9">
        <v>1.0735439079272413E-2</v>
      </c>
      <c r="F9">
        <v>6.3159418547217003E-2</v>
      </c>
      <c r="G9">
        <v>1.2758791147974223E-2</v>
      </c>
      <c r="H9">
        <v>6.9275263964283684E-2</v>
      </c>
      <c r="I9">
        <v>1</v>
      </c>
    </row>
    <row r="10" spans="3:12" x14ac:dyDescent="0.3">
      <c r="C10" s="14" t="s">
        <v>8</v>
      </c>
      <c r="D10">
        <v>-3.7515831360832662E-2</v>
      </c>
      <c r="E10">
        <v>0.34044387001170862</v>
      </c>
      <c r="F10">
        <v>1.4728322828968765E-2</v>
      </c>
      <c r="G10">
        <v>-0.16553838807664928</v>
      </c>
      <c r="H10">
        <v>-3.4889394044796081E-2</v>
      </c>
      <c r="I10">
        <v>-7.4638662982867851E-2</v>
      </c>
      <c r="J10">
        <v>1</v>
      </c>
    </row>
    <row r="11" spans="3:12" x14ac:dyDescent="0.3">
      <c r="C11" s="14" t="s">
        <v>9</v>
      </c>
      <c r="D11">
        <v>9.0452928544926554E-3</v>
      </c>
      <c r="E11">
        <v>0.46831049110619005</v>
      </c>
      <c r="F11">
        <v>1.857255367337321E-2</v>
      </c>
      <c r="G11">
        <v>-0.15475440833854065</v>
      </c>
      <c r="H11">
        <v>7.5220000119138042E-2</v>
      </c>
      <c r="I11">
        <v>5.9816982235017767E-2</v>
      </c>
      <c r="J11">
        <v>0.21138847798435784</v>
      </c>
      <c r="K11">
        <v>1</v>
      </c>
    </row>
    <row r="12" spans="3:12" ht="15" thickBot="1" x14ac:dyDescent="0.35">
      <c r="C12" s="16" t="s">
        <v>10</v>
      </c>
      <c r="D12" s="1">
        <v>7.1281885731065545E-2</v>
      </c>
      <c r="E12" s="1">
        <v>0.39784455661180773</v>
      </c>
      <c r="F12" s="1">
        <v>6.4586638162812959E-2</v>
      </c>
      <c r="G12" s="1">
        <v>-0.15136168107909198</v>
      </c>
      <c r="H12" s="1">
        <v>-1.3924365684516214E-2</v>
      </c>
      <c r="I12" s="1">
        <v>3.1679343958434178E-2</v>
      </c>
      <c r="J12" s="1">
        <v>0.22370292758424945</v>
      </c>
      <c r="K12" s="1">
        <v>0.41965786441603181</v>
      </c>
      <c r="L12" s="1">
        <v>1</v>
      </c>
    </row>
  </sheetData>
  <conditionalFormatting sqref="D4:L12">
    <cfRule type="colorScale" priority="1">
      <colorScale>
        <cfvo type="num" val="-1"/>
        <cfvo type="num" val="0"/>
        <cfvo type="num" val="1"/>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070F-CBF0-4045-B7B0-210D87B5A545}">
  <dimension ref="A1:F453"/>
  <sheetViews>
    <sheetView workbookViewId="0">
      <selection activeCell="E22" sqref="E22"/>
    </sheetView>
  </sheetViews>
  <sheetFormatPr defaultRowHeight="14.4" x14ac:dyDescent="0.3"/>
  <cols>
    <col min="4" max="4" width="21.21875" customWidth="1"/>
    <col min="5" max="5" width="25.21875" customWidth="1"/>
    <col min="6" max="6" width="24.21875" customWidth="1"/>
  </cols>
  <sheetData>
    <row r="1" spans="1:6" x14ac:dyDescent="0.3">
      <c r="A1" t="s">
        <v>44</v>
      </c>
      <c r="B1" t="s">
        <v>2</v>
      </c>
    </row>
    <row r="2" spans="1:6" x14ac:dyDescent="0.3">
      <c r="A2">
        <v>34</v>
      </c>
      <c r="B2">
        <v>31</v>
      </c>
    </row>
    <row r="3" spans="1:6" x14ac:dyDescent="0.3">
      <c r="A3">
        <v>31</v>
      </c>
      <c r="B3">
        <v>31</v>
      </c>
    </row>
    <row r="4" spans="1:6" x14ac:dyDescent="0.3">
      <c r="A4">
        <v>28</v>
      </c>
      <c r="B4">
        <v>28</v>
      </c>
    </row>
    <row r="5" spans="1:6" ht="23.4" x14ac:dyDescent="0.45">
      <c r="A5">
        <v>26</v>
      </c>
      <c r="B5">
        <v>28</v>
      </c>
      <c r="D5" s="11" t="s">
        <v>34</v>
      </c>
      <c r="E5" s="11"/>
      <c r="F5" s="11"/>
    </row>
    <row r="6" spans="1:6" ht="15" thickBot="1" x14ac:dyDescent="0.35">
      <c r="A6">
        <v>32</v>
      </c>
      <c r="B6">
        <v>25</v>
      </c>
    </row>
    <row r="7" spans="1:6" x14ac:dyDescent="0.3">
      <c r="A7">
        <v>31</v>
      </c>
      <c r="B7">
        <v>31</v>
      </c>
      <c r="D7" s="2"/>
      <c r="E7" s="2" t="s">
        <v>44</v>
      </c>
      <c r="F7" s="2" t="s">
        <v>2</v>
      </c>
    </row>
    <row r="8" spans="1:6" x14ac:dyDescent="0.3">
      <c r="A8">
        <v>28</v>
      </c>
      <c r="B8">
        <v>33</v>
      </c>
      <c r="D8" t="s">
        <v>12</v>
      </c>
      <c r="E8">
        <v>29.930434782608696</v>
      </c>
      <c r="F8">
        <v>29.493362831858406</v>
      </c>
    </row>
    <row r="9" spans="1:6" x14ac:dyDescent="0.3">
      <c r="A9">
        <v>29</v>
      </c>
      <c r="B9">
        <v>31</v>
      </c>
      <c r="D9" t="s">
        <v>35</v>
      </c>
      <c r="E9">
        <v>11.348851338522911</v>
      </c>
      <c r="F9">
        <v>6.8802219257108055</v>
      </c>
    </row>
    <row r="10" spans="1:6" x14ac:dyDescent="0.3">
      <c r="A10">
        <v>34</v>
      </c>
      <c r="B10">
        <v>31</v>
      </c>
      <c r="D10" t="s">
        <v>36</v>
      </c>
      <c r="E10">
        <v>230</v>
      </c>
      <c r="F10">
        <v>452</v>
      </c>
    </row>
    <row r="11" spans="1:6" x14ac:dyDescent="0.3">
      <c r="A11">
        <v>29</v>
      </c>
      <c r="B11">
        <v>34</v>
      </c>
      <c r="D11" t="s">
        <v>37</v>
      </c>
      <c r="E11">
        <v>0</v>
      </c>
    </row>
    <row r="12" spans="1:6" x14ac:dyDescent="0.3">
      <c r="A12">
        <v>28</v>
      </c>
      <c r="B12">
        <v>28</v>
      </c>
      <c r="D12" t="s">
        <v>38</v>
      </c>
      <c r="E12">
        <v>374</v>
      </c>
    </row>
    <row r="13" spans="1:6" x14ac:dyDescent="0.3">
      <c r="A13">
        <v>34</v>
      </c>
      <c r="B13">
        <v>28</v>
      </c>
      <c r="D13" s="12" t="s">
        <v>39</v>
      </c>
      <c r="E13" s="12">
        <v>1.7201084620712557</v>
      </c>
    </row>
    <row r="14" spans="1:6" x14ac:dyDescent="0.3">
      <c r="A14">
        <v>25</v>
      </c>
      <c r="B14">
        <v>31</v>
      </c>
      <c r="D14" t="s">
        <v>40</v>
      </c>
      <c r="E14">
        <v>4.3119970033974678E-2</v>
      </c>
    </row>
    <row r="15" spans="1:6" x14ac:dyDescent="0.3">
      <c r="A15">
        <v>28</v>
      </c>
      <c r="B15">
        <v>31</v>
      </c>
      <c r="D15" t="s">
        <v>41</v>
      </c>
      <c r="E15">
        <v>1.6489380481218523</v>
      </c>
    </row>
    <row r="16" spans="1:6" x14ac:dyDescent="0.3">
      <c r="A16">
        <v>33</v>
      </c>
      <c r="B16">
        <v>35</v>
      </c>
      <c r="D16" s="14" t="s">
        <v>42</v>
      </c>
      <c r="E16" s="14">
        <v>8.6239940067949356E-2</v>
      </c>
    </row>
    <row r="17" spans="1:6" ht="15" thickBot="1" x14ac:dyDescent="0.35">
      <c r="A17">
        <v>25</v>
      </c>
      <c r="B17">
        <v>28</v>
      </c>
      <c r="D17" s="13" t="s">
        <v>43</v>
      </c>
      <c r="E17" s="13">
        <v>1.966327183258552</v>
      </c>
      <c r="F17" s="1"/>
    </row>
    <row r="18" spans="1:6" x14ac:dyDescent="0.3">
      <c r="A18">
        <v>26</v>
      </c>
      <c r="B18">
        <v>26</v>
      </c>
    </row>
    <row r="19" spans="1:6" x14ac:dyDescent="0.3">
      <c r="A19">
        <v>28</v>
      </c>
      <c r="B19">
        <v>31</v>
      </c>
    </row>
    <row r="20" spans="1:6" x14ac:dyDescent="0.3">
      <c r="A20">
        <v>25</v>
      </c>
      <c r="B20">
        <v>30</v>
      </c>
    </row>
    <row r="21" spans="1:6" x14ac:dyDescent="0.3">
      <c r="A21">
        <v>34</v>
      </c>
      <c r="B21">
        <v>31</v>
      </c>
    </row>
    <row r="22" spans="1:6" x14ac:dyDescent="0.3">
      <c r="A22">
        <v>25</v>
      </c>
      <c r="B22">
        <v>32</v>
      </c>
    </row>
    <row r="23" spans="1:6" x14ac:dyDescent="0.3">
      <c r="A23">
        <v>31</v>
      </c>
      <c r="B23">
        <v>33</v>
      </c>
    </row>
    <row r="24" spans="1:6" x14ac:dyDescent="0.3">
      <c r="A24">
        <v>28</v>
      </c>
      <c r="B24">
        <v>31</v>
      </c>
    </row>
    <row r="25" spans="1:6" x14ac:dyDescent="0.3">
      <c r="A25">
        <v>34</v>
      </c>
      <c r="B25">
        <v>34</v>
      </c>
    </row>
    <row r="26" spans="1:6" x14ac:dyDescent="0.3">
      <c r="A26">
        <v>33</v>
      </c>
      <c r="B26">
        <v>34</v>
      </c>
    </row>
    <row r="27" spans="1:6" x14ac:dyDescent="0.3">
      <c r="A27">
        <v>33</v>
      </c>
      <c r="B27">
        <v>33</v>
      </c>
    </row>
    <row r="28" spans="1:6" x14ac:dyDescent="0.3">
      <c r="A28">
        <v>32</v>
      </c>
      <c r="B28">
        <v>35</v>
      </c>
    </row>
    <row r="29" spans="1:6" x14ac:dyDescent="0.3">
      <c r="A29">
        <v>30</v>
      </c>
      <c r="B29">
        <v>28</v>
      </c>
    </row>
    <row r="30" spans="1:6" x14ac:dyDescent="0.3">
      <c r="A30">
        <v>34</v>
      </c>
      <c r="B30">
        <v>31</v>
      </c>
    </row>
    <row r="31" spans="1:6" x14ac:dyDescent="0.3">
      <c r="A31">
        <v>29</v>
      </c>
      <c r="B31">
        <v>29</v>
      </c>
    </row>
    <row r="32" spans="1:6" x14ac:dyDescent="0.3">
      <c r="A32">
        <v>31</v>
      </c>
      <c r="B32">
        <v>31</v>
      </c>
    </row>
    <row r="33" spans="1:2" x14ac:dyDescent="0.3">
      <c r="A33">
        <v>34</v>
      </c>
      <c r="B33">
        <v>28</v>
      </c>
    </row>
    <row r="34" spans="1:2" x14ac:dyDescent="0.3">
      <c r="A34">
        <v>25</v>
      </c>
      <c r="B34">
        <v>29</v>
      </c>
    </row>
    <row r="35" spans="1:2" x14ac:dyDescent="0.3">
      <c r="A35">
        <v>33</v>
      </c>
      <c r="B35">
        <v>26</v>
      </c>
    </row>
    <row r="36" spans="1:2" x14ac:dyDescent="0.3">
      <c r="A36">
        <v>26</v>
      </c>
      <c r="B36">
        <v>31</v>
      </c>
    </row>
    <row r="37" spans="1:2" x14ac:dyDescent="0.3">
      <c r="A37">
        <v>28</v>
      </c>
      <c r="B37">
        <v>28</v>
      </c>
    </row>
    <row r="38" spans="1:2" x14ac:dyDescent="0.3">
      <c r="A38">
        <v>33</v>
      </c>
      <c r="B38">
        <v>27</v>
      </c>
    </row>
    <row r="39" spans="1:2" x14ac:dyDescent="0.3">
      <c r="A39">
        <v>26</v>
      </c>
      <c r="B39">
        <v>26</v>
      </c>
    </row>
    <row r="40" spans="1:2" x14ac:dyDescent="0.3">
      <c r="A40">
        <v>26</v>
      </c>
      <c r="B40">
        <v>30</v>
      </c>
    </row>
    <row r="41" spans="1:2" x14ac:dyDescent="0.3">
      <c r="A41">
        <v>25</v>
      </c>
      <c r="B41">
        <v>29</v>
      </c>
    </row>
    <row r="42" spans="1:2" x14ac:dyDescent="0.3">
      <c r="A42">
        <v>28</v>
      </c>
      <c r="B42">
        <v>31</v>
      </c>
    </row>
    <row r="43" spans="1:2" x14ac:dyDescent="0.3">
      <c r="A43">
        <v>31</v>
      </c>
      <c r="B43">
        <v>34</v>
      </c>
    </row>
    <row r="44" spans="1:2" x14ac:dyDescent="0.3">
      <c r="A44">
        <v>26</v>
      </c>
      <c r="B44">
        <v>28</v>
      </c>
    </row>
    <row r="45" spans="1:2" x14ac:dyDescent="0.3">
      <c r="A45">
        <v>29</v>
      </c>
      <c r="B45">
        <v>28</v>
      </c>
    </row>
    <row r="46" spans="1:2" x14ac:dyDescent="0.3">
      <c r="A46">
        <v>31</v>
      </c>
      <c r="B46">
        <v>28</v>
      </c>
    </row>
    <row r="47" spans="1:2" x14ac:dyDescent="0.3">
      <c r="A47">
        <v>25</v>
      </c>
      <c r="B47">
        <v>28</v>
      </c>
    </row>
    <row r="48" spans="1:2" x14ac:dyDescent="0.3">
      <c r="A48">
        <v>28</v>
      </c>
      <c r="B48">
        <v>34</v>
      </c>
    </row>
    <row r="49" spans="1:2" x14ac:dyDescent="0.3">
      <c r="A49">
        <v>29</v>
      </c>
      <c r="B49">
        <v>31</v>
      </c>
    </row>
    <row r="50" spans="1:2" x14ac:dyDescent="0.3">
      <c r="A50">
        <v>35</v>
      </c>
      <c r="B50">
        <v>31</v>
      </c>
    </row>
    <row r="51" spans="1:2" x14ac:dyDescent="0.3">
      <c r="A51">
        <v>30</v>
      </c>
      <c r="B51">
        <v>26</v>
      </c>
    </row>
    <row r="52" spans="1:2" x14ac:dyDescent="0.3">
      <c r="A52">
        <v>25</v>
      </c>
      <c r="B52">
        <v>25</v>
      </c>
    </row>
    <row r="53" spans="1:2" x14ac:dyDescent="0.3">
      <c r="A53">
        <v>28</v>
      </c>
      <c r="B53">
        <v>28</v>
      </c>
    </row>
    <row r="54" spans="1:2" x14ac:dyDescent="0.3">
      <c r="A54">
        <v>29</v>
      </c>
      <c r="B54">
        <v>32</v>
      </c>
    </row>
    <row r="55" spans="1:2" x14ac:dyDescent="0.3">
      <c r="A55">
        <v>34</v>
      </c>
      <c r="B55">
        <v>32</v>
      </c>
    </row>
    <row r="56" spans="1:2" x14ac:dyDescent="0.3">
      <c r="A56">
        <v>31</v>
      </c>
      <c r="B56">
        <v>28</v>
      </c>
    </row>
    <row r="57" spans="1:2" x14ac:dyDescent="0.3">
      <c r="A57">
        <v>31</v>
      </c>
      <c r="B57">
        <v>34</v>
      </c>
    </row>
    <row r="58" spans="1:2" x14ac:dyDescent="0.3">
      <c r="A58">
        <v>34</v>
      </c>
      <c r="B58">
        <v>28</v>
      </c>
    </row>
    <row r="59" spans="1:2" x14ac:dyDescent="0.3">
      <c r="A59">
        <v>34</v>
      </c>
      <c r="B59">
        <v>27</v>
      </c>
    </row>
    <row r="60" spans="1:2" x14ac:dyDescent="0.3">
      <c r="A60">
        <v>31</v>
      </c>
      <c r="B60">
        <v>28</v>
      </c>
    </row>
    <row r="61" spans="1:2" x14ac:dyDescent="0.3">
      <c r="A61">
        <v>26</v>
      </c>
      <c r="B61">
        <v>28</v>
      </c>
    </row>
    <row r="62" spans="1:2" x14ac:dyDescent="0.3">
      <c r="A62">
        <v>34</v>
      </c>
      <c r="B62">
        <v>34</v>
      </c>
    </row>
    <row r="63" spans="1:2" x14ac:dyDescent="0.3">
      <c r="A63">
        <v>34</v>
      </c>
      <c r="B63">
        <v>28</v>
      </c>
    </row>
    <row r="64" spans="1:2" x14ac:dyDescent="0.3">
      <c r="A64">
        <v>35</v>
      </c>
      <c r="B64">
        <v>29</v>
      </c>
    </row>
    <row r="65" spans="1:2" x14ac:dyDescent="0.3">
      <c r="A65">
        <v>28</v>
      </c>
      <c r="B65">
        <v>29</v>
      </c>
    </row>
    <row r="66" spans="1:2" x14ac:dyDescent="0.3">
      <c r="A66">
        <v>28</v>
      </c>
      <c r="B66">
        <v>29</v>
      </c>
    </row>
    <row r="67" spans="1:2" x14ac:dyDescent="0.3">
      <c r="A67">
        <v>26</v>
      </c>
      <c r="B67">
        <v>29</v>
      </c>
    </row>
    <row r="68" spans="1:2" x14ac:dyDescent="0.3">
      <c r="A68">
        <v>25</v>
      </c>
      <c r="B68">
        <v>28</v>
      </c>
    </row>
    <row r="69" spans="1:2" x14ac:dyDescent="0.3">
      <c r="A69">
        <v>34</v>
      </c>
      <c r="B69">
        <v>28</v>
      </c>
    </row>
    <row r="70" spans="1:2" x14ac:dyDescent="0.3">
      <c r="A70">
        <v>25</v>
      </c>
      <c r="B70">
        <v>34</v>
      </c>
    </row>
    <row r="71" spans="1:2" x14ac:dyDescent="0.3">
      <c r="A71">
        <v>30</v>
      </c>
      <c r="B71">
        <v>34</v>
      </c>
    </row>
    <row r="72" spans="1:2" x14ac:dyDescent="0.3">
      <c r="A72">
        <v>27</v>
      </c>
      <c r="B72">
        <v>31</v>
      </c>
    </row>
    <row r="73" spans="1:2" x14ac:dyDescent="0.3">
      <c r="A73">
        <v>31</v>
      </c>
      <c r="B73">
        <v>28</v>
      </c>
    </row>
    <row r="74" spans="1:2" x14ac:dyDescent="0.3">
      <c r="A74">
        <v>28</v>
      </c>
      <c r="B74">
        <v>30</v>
      </c>
    </row>
    <row r="75" spans="1:2" x14ac:dyDescent="0.3">
      <c r="A75">
        <v>25</v>
      </c>
      <c r="B75">
        <v>29</v>
      </c>
    </row>
    <row r="76" spans="1:2" x14ac:dyDescent="0.3">
      <c r="A76">
        <v>29</v>
      </c>
      <c r="B76">
        <v>29</v>
      </c>
    </row>
    <row r="77" spans="1:2" x14ac:dyDescent="0.3">
      <c r="A77">
        <v>26</v>
      </c>
      <c r="B77">
        <v>29</v>
      </c>
    </row>
    <row r="78" spans="1:2" x14ac:dyDescent="0.3">
      <c r="A78">
        <v>34</v>
      </c>
      <c r="B78">
        <v>31</v>
      </c>
    </row>
    <row r="79" spans="1:2" x14ac:dyDescent="0.3">
      <c r="A79">
        <v>34</v>
      </c>
      <c r="B79">
        <v>31</v>
      </c>
    </row>
    <row r="80" spans="1:2" x14ac:dyDescent="0.3">
      <c r="A80">
        <v>26</v>
      </c>
      <c r="B80">
        <v>28</v>
      </c>
    </row>
    <row r="81" spans="1:2" x14ac:dyDescent="0.3">
      <c r="A81">
        <v>35</v>
      </c>
      <c r="B81">
        <v>32</v>
      </c>
    </row>
    <row r="82" spans="1:2" x14ac:dyDescent="0.3">
      <c r="A82">
        <v>27</v>
      </c>
      <c r="B82">
        <v>27</v>
      </c>
    </row>
    <row r="83" spans="1:2" x14ac:dyDescent="0.3">
      <c r="A83">
        <v>34</v>
      </c>
      <c r="B83">
        <v>32</v>
      </c>
    </row>
    <row r="84" spans="1:2" x14ac:dyDescent="0.3">
      <c r="A84">
        <v>34</v>
      </c>
      <c r="B84">
        <v>32</v>
      </c>
    </row>
    <row r="85" spans="1:2" x14ac:dyDescent="0.3">
      <c r="A85">
        <v>29</v>
      </c>
      <c r="B85">
        <v>27</v>
      </c>
    </row>
    <row r="86" spans="1:2" x14ac:dyDescent="0.3">
      <c r="A86">
        <v>28</v>
      </c>
      <c r="B86">
        <v>29</v>
      </c>
    </row>
    <row r="87" spans="1:2" x14ac:dyDescent="0.3">
      <c r="A87">
        <v>34</v>
      </c>
      <c r="B87">
        <v>28</v>
      </c>
    </row>
    <row r="88" spans="1:2" x14ac:dyDescent="0.3">
      <c r="A88">
        <v>34</v>
      </c>
      <c r="B88">
        <v>28</v>
      </c>
    </row>
    <row r="89" spans="1:2" x14ac:dyDescent="0.3">
      <c r="A89">
        <v>33</v>
      </c>
      <c r="B89">
        <v>28</v>
      </c>
    </row>
    <row r="90" spans="1:2" x14ac:dyDescent="0.3">
      <c r="A90">
        <v>33</v>
      </c>
      <c r="B90">
        <v>28</v>
      </c>
    </row>
    <row r="91" spans="1:2" x14ac:dyDescent="0.3">
      <c r="A91">
        <v>26</v>
      </c>
      <c r="B91">
        <v>29</v>
      </c>
    </row>
    <row r="92" spans="1:2" x14ac:dyDescent="0.3">
      <c r="A92">
        <v>28</v>
      </c>
      <c r="B92">
        <v>28</v>
      </c>
    </row>
    <row r="93" spans="1:2" x14ac:dyDescent="0.3">
      <c r="A93">
        <v>33</v>
      </c>
      <c r="B93">
        <v>28</v>
      </c>
    </row>
    <row r="94" spans="1:2" x14ac:dyDescent="0.3">
      <c r="A94">
        <v>34</v>
      </c>
      <c r="B94">
        <v>25</v>
      </c>
    </row>
    <row r="95" spans="1:2" x14ac:dyDescent="0.3">
      <c r="A95">
        <v>34</v>
      </c>
      <c r="B95">
        <v>32</v>
      </c>
    </row>
    <row r="96" spans="1:2" x14ac:dyDescent="0.3">
      <c r="A96">
        <v>34</v>
      </c>
      <c r="B96">
        <v>26</v>
      </c>
    </row>
    <row r="97" spans="1:2" x14ac:dyDescent="0.3">
      <c r="A97">
        <v>32</v>
      </c>
      <c r="B97">
        <v>31</v>
      </c>
    </row>
    <row r="98" spans="1:2" x14ac:dyDescent="0.3">
      <c r="A98">
        <v>26</v>
      </c>
      <c r="B98">
        <v>28</v>
      </c>
    </row>
    <row r="99" spans="1:2" x14ac:dyDescent="0.3">
      <c r="A99">
        <v>32</v>
      </c>
      <c r="B99">
        <v>31</v>
      </c>
    </row>
    <row r="100" spans="1:2" x14ac:dyDescent="0.3">
      <c r="A100">
        <v>26</v>
      </c>
      <c r="B100">
        <v>28</v>
      </c>
    </row>
    <row r="101" spans="1:2" x14ac:dyDescent="0.3">
      <c r="A101">
        <v>28</v>
      </c>
      <c r="B101">
        <v>28</v>
      </c>
    </row>
    <row r="102" spans="1:2" x14ac:dyDescent="0.3">
      <c r="A102">
        <v>31</v>
      </c>
      <c r="B102">
        <v>25</v>
      </c>
    </row>
    <row r="103" spans="1:2" x14ac:dyDescent="0.3">
      <c r="A103">
        <v>35</v>
      </c>
      <c r="B103">
        <v>28</v>
      </c>
    </row>
    <row r="104" spans="1:2" x14ac:dyDescent="0.3">
      <c r="A104">
        <v>25</v>
      </c>
      <c r="B104">
        <v>28</v>
      </c>
    </row>
    <row r="105" spans="1:2" x14ac:dyDescent="0.3">
      <c r="A105">
        <v>32</v>
      </c>
      <c r="B105">
        <v>28</v>
      </c>
    </row>
    <row r="106" spans="1:2" x14ac:dyDescent="0.3">
      <c r="A106">
        <v>34</v>
      </c>
      <c r="B106">
        <v>27</v>
      </c>
    </row>
    <row r="107" spans="1:2" x14ac:dyDescent="0.3">
      <c r="A107">
        <v>33</v>
      </c>
      <c r="B107">
        <v>32</v>
      </c>
    </row>
    <row r="108" spans="1:2" x14ac:dyDescent="0.3">
      <c r="A108">
        <v>33</v>
      </c>
      <c r="B108">
        <v>28</v>
      </c>
    </row>
    <row r="109" spans="1:2" x14ac:dyDescent="0.3">
      <c r="A109">
        <v>34</v>
      </c>
      <c r="B109">
        <v>33</v>
      </c>
    </row>
    <row r="110" spans="1:2" x14ac:dyDescent="0.3">
      <c r="A110">
        <v>25</v>
      </c>
      <c r="B110">
        <v>28</v>
      </c>
    </row>
    <row r="111" spans="1:2" x14ac:dyDescent="0.3">
      <c r="A111">
        <v>26</v>
      </c>
      <c r="B111">
        <v>31</v>
      </c>
    </row>
    <row r="112" spans="1:2" x14ac:dyDescent="0.3">
      <c r="A112">
        <v>32</v>
      </c>
      <c r="B112">
        <v>27</v>
      </c>
    </row>
    <row r="113" spans="1:2" x14ac:dyDescent="0.3">
      <c r="A113">
        <v>34</v>
      </c>
      <c r="B113">
        <v>25</v>
      </c>
    </row>
    <row r="114" spans="1:2" x14ac:dyDescent="0.3">
      <c r="A114">
        <v>25</v>
      </c>
      <c r="B114">
        <v>28</v>
      </c>
    </row>
    <row r="115" spans="1:2" x14ac:dyDescent="0.3">
      <c r="A115">
        <v>33</v>
      </c>
      <c r="B115">
        <v>27</v>
      </c>
    </row>
    <row r="116" spans="1:2" x14ac:dyDescent="0.3">
      <c r="A116">
        <v>34</v>
      </c>
      <c r="B116">
        <v>30</v>
      </c>
    </row>
    <row r="117" spans="1:2" x14ac:dyDescent="0.3">
      <c r="A117">
        <v>33</v>
      </c>
      <c r="B117">
        <v>28</v>
      </c>
    </row>
    <row r="118" spans="1:2" x14ac:dyDescent="0.3">
      <c r="A118">
        <v>31</v>
      </c>
      <c r="B118">
        <v>32</v>
      </c>
    </row>
    <row r="119" spans="1:2" x14ac:dyDescent="0.3">
      <c r="A119">
        <v>29</v>
      </c>
      <c r="B119">
        <v>26</v>
      </c>
    </row>
    <row r="120" spans="1:2" x14ac:dyDescent="0.3">
      <c r="A120">
        <v>28</v>
      </c>
      <c r="B120">
        <v>28</v>
      </c>
    </row>
    <row r="121" spans="1:2" x14ac:dyDescent="0.3">
      <c r="A121">
        <v>28</v>
      </c>
      <c r="B121">
        <v>26</v>
      </c>
    </row>
    <row r="122" spans="1:2" x14ac:dyDescent="0.3">
      <c r="A122">
        <v>25</v>
      </c>
      <c r="B122">
        <v>25</v>
      </c>
    </row>
    <row r="123" spans="1:2" x14ac:dyDescent="0.3">
      <c r="A123">
        <v>31</v>
      </c>
      <c r="B123">
        <v>25</v>
      </c>
    </row>
    <row r="124" spans="1:2" x14ac:dyDescent="0.3">
      <c r="A124">
        <v>25</v>
      </c>
      <c r="B124">
        <v>28</v>
      </c>
    </row>
    <row r="125" spans="1:2" x14ac:dyDescent="0.3">
      <c r="A125">
        <v>28</v>
      </c>
      <c r="B125">
        <v>26</v>
      </c>
    </row>
    <row r="126" spans="1:2" x14ac:dyDescent="0.3">
      <c r="A126">
        <v>29</v>
      </c>
      <c r="B126">
        <v>27</v>
      </c>
    </row>
    <row r="127" spans="1:2" x14ac:dyDescent="0.3">
      <c r="A127">
        <v>25</v>
      </c>
      <c r="B127">
        <v>30</v>
      </c>
    </row>
    <row r="128" spans="1:2" x14ac:dyDescent="0.3">
      <c r="A128">
        <v>35</v>
      </c>
      <c r="B128">
        <v>28</v>
      </c>
    </row>
    <row r="129" spans="1:2" x14ac:dyDescent="0.3">
      <c r="A129">
        <v>31</v>
      </c>
      <c r="B129">
        <v>34</v>
      </c>
    </row>
    <row r="130" spans="1:2" x14ac:dyDescent="0.3">
      <c r="A130">
        <v>27</v>
      </c>
      <c r="B130">
        <v>33</v>
      </c>
    </row>
    <row r="131" spans="1:2" x14ac:dyDescent="0.3">
      <c r="A131">
        <v>25</v>
      </c>
      <c r="B131">
        <v>29</v>
      </c>
    </row>
    <row r="132" spans="1:2" x14ac:dyDescent="0.3">
      <c r="A132">
        <v>27</v>
      </c>
      <c r="B132">
        <v>28</v>
      </c>
    </row>
    <row r="133" spans="1:2" x14ac:dyDescent="0.3">
      <c r="A133">
        <v>31</v>
      </c>
      <c r="B133">
        <v>32</v>
      </c>
    </row>
    <row r="134" spans="1:2" x14ac:dyDescent="0.3">
      <c r="A134">
        <v>28</v>
      </c>
      <c r="B134">
        <v>29</v>
      </c>
    </row>
    <row r="135" spans="1:2" x14ac:dyDescent="0.3">
      <c r="A135">
        <v>31</v>
      </c>
      <c r="B135">
        <v>31</v>
      </c>
    </row>
    <row r="136" spans="1:2" x14ac:dyDescent="0.3">
      <c r="A136">
        <v>33</v>
      </c>
      <c r="B136">
        <v>25</v>
      </c>
    </row>
    <row r="137" spans="1:2" x14ac:dyDescent="0.3">
      <c r="A137">
        <v>28</v>
      </c>
      <c r="B137">
        <v>28</v>
      </c>
    </row>
    <row r="138" spans="1:2" x14ac:dyDescent="0.3">
      <c r="A138">
        <v>31</v>
      </c>
      <c r="B138">
        <v>27</v>
      </c>
    </row>
    <row r="139" spans="1:2" x14ac:dyDescent="0.3">
      <c r="A139">
        <v>28</v>
      </c>
      <c r="B139">
        <v>28</v>
      </c>
    </row>
    <row r="140" spans="1:2" x14ac:dyDescent="0.3">
      <c r="A140">
        <v>33</v>
      </c>
      <c r="B140">
        <v>27</v>
      </c>
    </row>
    <row r="141" spans="1:2" x14ac:dyDescent="0.3">
      <c r="A141">
        <v>33</v>
      </c>
      <c r="B141">
        <v>33</v>
      </c>
    </row>
    <row r="142" spans="1:2" x14ac:dyDescent="0.3">
      <c r="A142">
        <v>28</v>
      </c>
      <c r="B142">
        <v>28</v>
      </c>
    </row>
    <row r="143" spans="1:2" x14ac:dyDescent="0.3">
      <c r="A143">
        <v>25</v>
      </c>
      <c r="B143">
        <v>26</v>
      </c>
    </row>
    <row r="144" spans="1:2" x14ac:dyDescent="0.3">
      <c r="A144">
        <v>25</v>
      </c>
      <c r="B144">
        <v>31</v>
      </c>
    </row>
    <row r="145" spans="1:2" x14ac:dyDescent="0.3">
      <c r="A145">
        <v>33</v>
      </c>
      <c r="B145">
        <v>35</v>
      </c>
    </row>
    <row r="146" spans="1:2" x14ac:dyDescent="0.3">
      <c r="A146">
        <v>31</v>
      </c>
      <c r="B146">
        <v>28</v>
      </c>
    </row>
    <row r="147" spans="1:2" x14ac:dyDescent="0.3">
      <c r="A147">
        <v>31</v>
      </c>
      <c r="B147">
        <v>28</v>
      </c>
    </row>
    <row r="148" spans="1:2" x14ac:dyDescent="0.3">
      <c r="A148">
        <v>34</v>
      </c>
      <c r="B148">
        <v>30</v>
      </c>
    </row>
    <row r="149" spans="1:2" x14ac:dyDescent="0.3">
      <c r="A149">
        <v>25</v>
      </c>
      <c r="B149">
        <v>31</v>
      </c>
    </row>
    <row r="150" spans="1:2" x14ac:dyDescent="0.3">
      <c r="A150">
        <v>29</v>
      </c>
      <c r="B150">
        <v>31</v>
      </c>
    </row>
    <row r="151" spans="1:2" x14ac:dyDescent="0.3">
      <c r="A151">
        <v>25</v>
      </c>
      <c r="B151">
        <v>34</v>
      </c>
    </row>
    <row r="152" spans="1:2" x14ac:dyDescent="0.3">
      <c r="A152">
        <v>26</v>
      </c>
      <c r="B152">
        <v>34</v>
      </c>
    </row>
    <row r="153" spans="1:2" x14ac:dyDescent="0.3">
      <c r="A153">
        <v>34</v>
      </c>
      <c r="B153">
        <v>34</v>
      </c>
    </row>
    <row r="154" spans="1:2" x14ac:dyDescent="0.3">
      <c r="A154">
        <v>34</v>
      </c>
      <c r="B154">
        <v>29</v>
      </c>
    </row>
    <row r="155" spans="1:2" x14ac:dyDescent="0.3">
      <c r="A155">
        <v>34</v>
      </c>
      <c r="B155">
        <v>31</v>
      </c>
    </row>
    <row r="156" spans="1:2" x14ac:dyDescent="0.3">
      <c r="A156">
        <v>34</v>
      </c>
      <c r="B156">
        <v>28</v>
      </c>
    </row>
    <row r="157" spans="1:2" x14ac:dyDescent="0.3">
      <c r="A157">
        <v>25</v>
      </c>
      <c r="B157">
        <v>31</v>
      </c>
    </row>
    <row r="158" spans="1:2" x14ac:dyDescent="0.3">
      <c r="A158">
        <v>28</v>
      </c>
      <c r="B158">
        <v>34</v>
      </c>
    </row>
    <row r="159" spans="1:2" x14ac:dyDescent="0.3">
      <c r="A159">
        <v>33</v>
      </c>
      <c r="B159">
        <v>30</v>
      </c>
    </row>
    <row r="160" spans="1:2" x14ac:dyDescent="0.3">
      <c r="A160">
        <v>31</v>
      </c>
      <c r="B160">
        <v>30</v>
      </c>
    </row>
    <row r="161" spans="1:2" x14ac:dyDescent="0.3">
      <c r="A161">
        <v>34</v>
      </c>
      <c r="B161">
        <v>29</v>
      </c>
    </row>
    <row r="162" spans="1:2" x14ac:dyDescent="0.3">
      <c r="A162">
        <v>26</v>
      </c>
      <c r="B162">
        <v>26</v>
      </c>
    </row>
    <row r="163" spans="1:2" x14ac:dyDescent="0.3">
      <c r="A163">
        <v>34</v>
      </c>
      <c r="B163">
        <v>27</v>
      </c>
    </row>
    <row r="164" spans="1:2" x14ac:dyDescent="0.3">
      <c r="A164">
        <v>25</v>
      </c>
      <c r="B164">
        <v>33</v>
      </c>
    </row>
    <row r="165" spans="1:2" x14ac:dyDescent="0.3">
      <c r="A165">
        <v>35</v>
      </c>
      <c r="B165">
        <v>26</v>
      </c>
    </row>
    <row r="166" spans="1:2" x14ac:dyDescent="0.3">
      <c r="A166">
        <v>34</v>
      </c>
      <c r="B166">
        <v>27</v>
      </c>
    </row>
    <row r="167" spans="1:2" x14ac:dyDescent="0.3">
      <c r="A167">
        <v>26</v>
      </c>
      <c r="B167">
        <v>28</v>
      </c>
    </row>
    <row r="168" spans="1:2" x14ac:dyDescent="0.3">
      <c r="A168">
        <v>25</v>
      </c>
      <c r="B168">
        <v>31</v>
      </c>
    </row>
    <row r="169" spans="1:2" x14ac:dyDescent="0.3">
      <c r="A169">
        <v>25</v>
      </c>
      <c r="B169">
        <v>28</v>
      </c>
    </row>
    <row r="170" spans="1:2" x14ac:dyDescent="0.3">
      <c r="A170">
        <v>34</v>
      </c>
      <c r="B170">
        <v>28</v>
      </c>
    </row>
    <row r="171" spans="1:2" x14ac:dyDescent="0.3">
      <c r="A171">
        <v>33</v>
      </c>
      <c r="B171">
        <v>28</v>
      </c>
    </row>
    <row r="172" spans="1:2" x14ac:dyDescent="0.3">
      <c r="A172">
        <v>34</v>
      </c>
      <c r="B172">
        <v>29</v>
      </c>
    </row>
    <row r="173" spans="1:2" x14ac:dyDescent="0.3">
      <c r="A173">
        <v>34</v>
      </c>
      <c r="B173">
        <v>26</v>
      </c>
    </row>
    <row r="174" spans="1:2" x14ac:dyDescent="0.3">
      <c r="A174">
        <v>33</v>
      </c>
      <c r="B174">
        <v>35</v>
      </c>
    </row>
    <row r="175" spans="1:2" x14ac:dyDescent="0.3">
      <c r="A175">
        <v>34</v>
      </c>
      <c r="B175">
        <v>29</v>
      </c>
    </row>
    <row r="176" spans="1:2" x14ac:dyDescent="0.3">
      <c r="A176">
        <v>28</v>
      </c>
      <c r="B176">
        <v>27</v>
      </c>
    </row>
    <row r="177" spans="1:2" x14ac:dyDescent="0.3">
      <c r="A177">
        <v>28</v>
      </c>
      <c r="B177">
        <v>31</v>
      </c>
    </row>
    <row r="178" spans="1:2" x14ac:dyDescent="0.3">
      <c r="A178">
        <v>26</v>
      </c>
      <c r="B178">
        <v>27</v>
      </c>
    </row>
    <row r="179" spans="1:2" x14ac:dyDescent="0.3">
      <c r="A179">
        <v>28</v>
      </c>
      <c r="B179">
        <v>35</v>
      </c>
    </row>
    <row r="180" spans="1:2" x14ac:dyDescent="0.3">
      <c r="A180">
        <v>28</v>
      </c>
      <c r="B180">
        <v>28</v>
      </c>
    </row>
    <row r="181" spans="1:2" x14ac:dyDescent="0.3">
      <c r="A181">
        <v>28</v>
      </c>
      <c r="B181">
        <v>29</v>
      </c>
    </row>
    <row r="182" spans="1:2" x14ac:dyDescent="0.3">
      <c r="A182">
        <v>28</v>
      </c>
      <c r="B182">
        <v>31</v>
      </c>
    </row>
    <row r="183" spans="1:2" x14ac:dyDescent="0.3">
      <c r="A183">
        <v>31</v>
      </c>
      <c r="B183">
        <v>32</v>
      </c>
    </row>
    <row r="184" spans="1:2" x14ac:dyDescent="0.3">
      <c r="A184">
        <v>29</v>
      </c>
      <c r="B184">
        <v>32</v>
      </c>
    </row>
    <row r="185" spans="1:2" x14ac:dyDescent="0.3">
      <c r="A185">
        <v>25</v>
      </c>
      <c r="B185">
        <v>26</v>
      </c>
    </row>
    <row r="186" spans="1:2" x14ac:dyDescent="0.3">
      <c r="A186">
        <v>35</v>
      </c>
      <c r="B186">
        <v>26</v>
      </c>
    </row>
    <row r="187" spans="1:2" x14ac:dyDescent="0.3">
      <c r="A187">
        <v>31</v>
      </c>
      <c r="B187">
        <v>33</v>
      </c>
    </row>
    <row r="188" spans="1:2" x14ac:dyDescent="0.3">
      <c r="A188">
        <v>27</v>
      </c>
      <c r="B188">
        <v>28</v>
      </c>
    </row>
    <row r="189" spans="1:2" x14ac:dyDescent="0.3">
      <c r="A189">
        <v>31</v>
      </c>
      <c r="B189">
        <v>29</v>
      </c>
    </row>
    <row r="190" spans="1:2" x14ac:dyDescent="0.3">
      <c r="A190">
        <v>29</v>
      </c>
      <c r="B190">
        <v>29</v>
      </c>
    </row>
    <row r="191" spans="1:2" x14ac:dyDescent="0.3">
      <c r="A191">
        <v>26</v>
      </c>
      <c r="B191">
        <v>26</v>
      </c>
    </row>
    <row r="192" spans="1:2" x14ac:dyDescent="0.3">
      <c r="A192">
        <v>26</v>
      </c>
      <c r="B192">
        <v>32</v>
      </c>
    </row>
    <row r="193" spans="1:2" x14ac:dyDescent="0.3">
      <c r="A193">
        <v>25</v>
      </c>
      <c r="B193">
        <v>34</v>
      </c>
    </row>
    <row r="194" spans="1:2" x14ac:dyDescent="0.3">
      <c r="A194">
        <v>29</v>
      </c>
      <c r="B194">
        <v>27</v>
      </c>
    </row>
    <row r="195" spans="1:2" x14ac:dyDescent="0.3">
      <c r="A195">
        <v>26</v>
      </c>
      <c r="B195">
        <v>29</v>
      </c>
    </row>
    <row r="196" spans="1:2" x14ac:dyDescent="0.3">
      <c r="A196">
        <v>33</v>
      </c>
      <c r="B196">
        <v>28</v>
      </c>
    </row>
    <row r="197" spans="1:2" x14ac:dyDescent="0.3">
      <c r="A197">
        <v>35</v>
      </c>
      <c r="B197">
        <v>32</v>
      </c>
    </row>
    <row r="198" spans="1:2" x14ac:dyDescent="0.3">
      <c r="A198">
        <v>29</v>
      </c>
      <c r="B198">
        <v>27</v>
      </c>
    </row>
    <row r="199" spans="1:2" x14ac:dyDescent="0.3">
      <c r="A199">
        <v>31</v>
      </c>
      <c r="B199">
        <v>27</v>
      </c>
    </row>
    <row r="200" spans="1:2" x14ac:dyDescent="0.3">
      <c r="A200">
        <v>27</v>
      </c>
      <c r="B200">
        <v>31</v>
      </c>
    </row>
    <row r="201" spans="1:2" x14ac:dyDescent="0.3">
      <c r="A201">
        <v>29</v>
      </c>
      <c r="B201">
        <v>34</v>
      </c>
    </row>
    <row r="202" spans="1:2" x14ac:dyDescent="0.3">
      <c r="A202">
        <v>34</v>
      </c>
      <c r="B202">
        <v>26</v>
      </c>
    </row>
    <row r="203" spans="1:2" x14ac:dyDescent="0.3">
      <c r="A203">
        <v>29</v>
      </c>
      <c r="B203">
        <v>28</v>
      </c>
    </row>
    <row r="204" spans="1:2" x14ac:dyDescent="0.3">
      <c r="A204">
        <v>35</v>
      </c>
      <c r="B204">
        <v>34</v>
      </c>
    </row>
    <row r="205" spans="1:2" x14ac:dyDescent="0.3">
      <c r="A205">
        <v>26</v>
      </c>
      <c r="B205">
        <v>30</v>
      </c>
    </row>
    <row r="206" spans="1:2" x14ac:dyDescent="0.3">
      <c r="A206">
        <v>25</v>
      </c>
      <c r="B206">
        <v>32</v>
      </c>
    </row>
    <row r="207" spans="1:2" x14ac:dyDescent="0.3">
      <c r="A207">
        <v>31</v>
      </c>
      <c r="B207">
        <v>28</v>
      </c>
    </row>
    <row r="208" spans="1:2" x14ac:dyDescent="0.3">
      <c r="A208">
        <v>35</v>
      </c>
      <c r="B208">
        <v>31</v>
      </c>
    </row>
    <row r="209" spans="1:2" x14ac:dyDescent="0.3">
      <c r="A209">
        <v>34</v>
      </c>
      <c r="B209">
        <v>35</v>
      </c>
    </row>
    <row r="210" spans="1:2" x14ac:dyDescent="0.3">
      <c r="A210">
        <v>34</v>
      </c>
      <c r="B210">
        <v>28</v>
      </c>
    </row>
    <row r="211" spans="1:2" x14ac:dyDescent="0.3">
      <c r="A211">
        <v>33</v>
      </c>
      <c r="B211">
        <v>28</v>
      </c>
    </row>
    <row r="212" spans="1:2" x14ac:dyDescent="0.3">
      <c r="A212">
        <v>28</v>
      </c>
      <c r="B212">
        <v>28</v>
      </c>
    </row>
    <row r="213" spans="1:2" x14ac:dyDescent="0.3">
      <c r="A213">
        <v>28</v>
      </c>
      <c r="B213">
        <v>31</v>
      </c>
    </row>
    <row r="214" spans="1:2" x14ac:dyDescent="0.3">
      <c r="A214">
        <v>28</v>
      </c>
      <c r="B214">
        <v>28</v>
      </c>
    </row>
    <row r="215" spans="1:2" x14ac:dyDescent="0.3">
      <c r="A215">
        <v>30</v>
      </c>
      <c r="B215">
        <v>34</v>
      </c>
    </row>
    <row r="216" spans="1:2" x14ac:dyDescent="0.3">
      <c r="A216">
        <v>31</v>
      </c>
      <c r="B216">
        <v>28</v>
      </c>
    </row>
    <row r="217" spans="1:2" x14ac:dyDescent="0.3">
      <c r="A217">
        <v>35</v>
      </c>
      <c r="B217">
        <v>35</v>
      </c>
    </row>
    <row r="218" spans="1:2" x14ac:dyDescent="0.3">
      <c r="A218">
        <v>33</v>
      </c>
      <c r="B218">
        <v>31</v>
      </c>
    </row>
    <row r="219" spans="1:2" x14ac:dyDescent="0.3">
      <c r="A219">
        <v>25</v>
      </c>
      <c r="B219">
        <v>32</v>
      </c>
    </row>
    <row r="220" spans="1:2" x14ac:dyDescent="0.3">
      <c r="A220">
        <v>26</v>
      </c>
      <c r="B220">
        <v>30</v>
      </c>
    </row>
    <row r="221" spans="1:2" x14ac:dyDescent="0.3">
      <c r="A221">
        <v>34</v>
      </c>
      <c r="B221">
        <v>28</v>
      </c>
    </row>
    <row r="222" spans="1:2" x14ac:dyDescent="0.3">
      <c r="A222">
        <v>26</v>
      </c>
      <c r="B222">
        <v>29</v>
      </c>
    </row>
    <row r="223" spans="1:2" x14ac:dyDescent="0.3">
      <c r="A223">
        <v>33</v>
      </c>
      <c r="B223">
        <v>27</v>
      </c>
    </row>
    <row r="224" spans="1:2" x14ac:dyDescent="0.3">
      <c r="A224">
        <v>33</v>
      </c>
      <c r="B224">
        <v>28</v>
      </c>
    </row>
    <row r="225" spans="1:2" x14ac:dyDescent="0.3">
      <c r="A225">
        <v>28</v>
      </c>
      <c r="B225">
        <v>28</v>
      </c>
    </row>
    <row r="226" spans="1:2" x14ac:dyDescent="0.3">
      <c r="A226">
        <v>30</v>
      </c>
      <c r="B226">
        <v>32</v>
      </c>
    </row>
    <row r="227" spans="1:2" x14ac:dyDescent="0.3">
      <c r="A227">
        <v>32</v>
      </c>
      <c r="B227">
        <v>29</v>
      </c>
    </row>
    <row r="228" spans="1:2" x14ac:dyDescent="0.3">
      <c r="A228">
        <v>34</v>
      </c>
      <c r="B228">
        <v>34</v>
      </c>
    </row>
    <row r="229" spans="1:2" x14ac:dyDescent="0.3">
      <c r="A229">
        <v>30</v>
      </c>
      <c r="B229">
        <v>31</v>
      </c>
    </row>
    <row r="230" spans="1:2" x14ac:dyDescent="0.3">
      <c r="A230">
        <v>25</v>
      </c>
      <c r="B230">
        <v>28</v>
      </c>
    </row>
    <row r="231" spans="1:2" x14ac:dyDescent="0.3">
      <c r="A231">
        <v>29</v>
      </c>
      <c r="B231">
        <v>31</v>
      </c>
    </row>
    <row r="232" spans="1:2" x14ac:dyDescent="0.3">
      <c r="B232">
        <v>29</v>
      </c>
    </row>
    <row r="233" spans="1:2" x14ac:dyDescent="0.3">
      <c r="B233">
        <v>31</v>
      </c>
    </row>
    <row r="234" spans="1:2" x14ac:dyDescent="0.3">
      <c r="B234">
        <v>34</v>
      </c>
    </row>
    <row r="235" spans="1:2" x14ac:dyDescent="0.3">
      <c r="B235">
        <v>34</v>
      </c>
    </row>
    <row r="236" spans="1:2" x14ac:dyDescent="0.3">
      <c r="B236">
        <v>34</v>
      </c>
    </row>
    <row r="237" spans="1:2" x14ac:dyDescent="0.3">
      <c r="B237">
        <v>25</v>
      </c>
    </row>
    <row r="238" spans="1:2" x14ac:dyDescent="0.3">
      <c r="B238">
        <v>28</v>
      </c>
    </row>
    <row r="239" spans="1:2" x14ac:dyDescent="0.3">
      <c r="B239">
        <v>28</v>
      </c>
    </row>
    <row r="240" spans="1:2" x14ac:dyDescent="0.3">
      <c r="B240">
        <v>34</v>
      </c>
    </row>
    <row r="241" spans="2:2" x14ac:dyDescent="0.3">
      <c r="B241">
        <v>31</v>
      </c>
    </row>
    <row r="242" spans="2:2" x14ac:dyDescent="0.3">
      <c r="B242">
        <v>28</v>
      </c>
    </row>
    <row r="243" spans="2:2" x14ac:dyDescent="0.3">
      <c r="B243">
        <v>31</v>
      </c>
    </row>
    <row r="244" spans="2:2" x14ac:dyDescent="0.3">
      <c r="B244">
        <v>32</v>
      </c>
    </row>
    <row r="245" spans="2:2" x14ac:dyDescent="0.3">
      <c r="B245">
        <v>27</v>
      </c>
    </row>
    <row r="246" spans="2:2" x14ac:dyDescent="0.3">
      <c r="B246">
        <v>29</v>
      </c>
    </row>
    <row r="247" spans="2:2" x14ac:dyDescent="0.3">
      <c r="B247">
        <v>28</v>
      </c>
    </row>
    <row r="248" spans="2:2" x14ac:dyDescent="0.3">
      <c r="B248">
        <v>28</v>
      </c>
    </row>
    <row r="249" spans="2:2" x14ac:dyDescent="0.3">
      <c r="B249">
        <v>28</v>
      </c>
    </row>
    <row r="250" spans="2:2" x14ac:dyDescent="0.3">
      <c r="B250">
        <v>31</v>
      </c>
    </row>
    <row r="251" spans="2:2" x14ac:dyDescent="0.3">
      <c r="B251">
        <v>28</v>
      </c>
    </row>
    <row r="252" spans="2:2" x14ac:dyDescent="0.3">
      <c r="B252">
        <v>29</v>
      </c>
    </row>
    <row r="253" spans="2:2" x14ac:dyDescent="0.3">
      <c r="B253">
        <v>29</v>
      </c>
    </row>
    <row r="254" spans="2:2" x14ac:dyDescent="0.3">
      <c r="B254">
        <v>33</v>
      </c>
    </row>
    <row r="255" spans="2:2" x14ac:dyDescent="0.3">
      <c r="B255">
        <v>34</v>
      </c>
    </row>
    <row r="256" spans="2:2" x14ac:dyDescent="0.3">
      <c r="B256">
        <v>28</v>
      </c>
    </row>
    <row r="257" spans="2:2" x14ac:dyDescent="0.3">
      <c r="B257">
        <v>28</v>
      </c>
    </row>
    <row r="258" spans="2:2" x14ac:dyDescent="0.3">
      <c r="B258">
        <v>29</v>
      </c>
    </row>
    <row r="259" spans="2:2" x14ac:dyDescent="0.3">
      <c r="B259">
        <v>32</v>
      </c>
    </row>
    <row r="260" spans="2:2" x14ac:dyDescent="0.3">
      <c r="B260">
        <v>25</v>
      </c>
    </row>
    <row r="261" spans="2:2" x14ac:dyDescent="0.3">
      <c r="B261">
        <v>28</v>
      </c>
    </row>
    <row r="262" spans="2:2" x14ac:dyDescent="0.3">
      <c r="B262">
        <v>35</v>
      </c>
    </row>
    <row r="263" spans="2:2" x14ac:dyDescent="0.3">
      <c r="B263">
        <v>29</v>
      </c>
    </row>
    <row r="264" spans="2:2" x14ac:dyDescent="0.3">
      <c r="B264">
        <v>34</v>
      </c>
    </row>
    <row r="265" spans="2:2" x14ac:dyDescent="0.3">
      <c r="B265">
        <v>31</v>
      </c>
    </row>
    <row r="266" spans="2:2" x14ac:dyDescent="0.3">
      <c r="B266">
        <v>28</v>
      </c>
    </row>
    <row r="267" spans="2:2" x14ac:dyDescent="0.3">
      <c r="B267">
        <v>32</v>
      </c>
    </row>
    <row r="268" spans="2:2" x14ac:dyDescent="0.3">
      <c r="B268">
        <v>31</v>
      </c>
    </row>
    <row r="269" spans="2:2" x14ac:dyDescent="0.3">
      <c r="B269">
        <v>28</v>
      </c>
    </row>
    <row r="270" spans="2:2" x14ac:dyDescent="0.3">
      <c r="B270">
        <v>28</v>
      </c>
    </row>
    <row r="271" spans="2:2" x14ac:dyDescent="0.3">
      <c r="B271">
        <v>28</v>
      </c>
    </row>
    <row r="272" spans="2:2" x14ac:dyDescent="0.3">
      <c r="B272">
        <v>28</v>
      </c>
    </row>
    <row r="273" spans="2:2" x14ac:dyDescent="0.3">
      <c r="B273">
        <v>28</v>
      </c>
    </row>
    <row r="274" spans="2:2" x14ac:dyDescent="0.3">
      <c r="B274">
        <v>34</v>
      </c>
    </row>
    <row r="275" spans="2:2" x14ac:dyDescent="0.3">
      <c r="B275">
        <v>25</v>
      </c>
    </row>
    <row r="276" spans="2:2" x14ac:dyDescent="0.3">
      <c r="B276">
        <v>34</v>
      </c>
    </row>
    <row r="277" spans="2:2" x14ac:dyDescent="0.3">
      <c r="B277">
        <v>28</v>
      </c>
    </row>
    <row r="278" spans="2:2" x14ac:dyDescent="0.3">
      <c r="B278">
        <v>29</v>
      </c>
    </row>
    <row r="279" spans="2:2" x14ac:dyDescent="0.3">
      <c r="B279">
        <v>25</v>
      </c>
    </row>
    <row r="280" spans="2:2" x14ac:dyDescent="0.3">
      <c r="B280">
        <v>28</v>
      </c>
    </row>
    <row r="281" spans="2:2" x14ac:dyDescent="0.3">
      <c r="B281">
        <v>32</v>
      </c>
    </row>
    <row r="282" spans="2:2" x14ac:dyDescent="0.3">
      <c r="B282">
        <v>28</v>
      </c>
    </row>
    <row r="283" spans="2:2" x14ac:dyDescent="0.3">
      <c r="B283">
        <v>34</v>
      </c>
    </row>
    <row r="284" spans="2:2" x14ac:dyDescent="0.3">
      <c r="B284">
        <v>28</v>
      </c>
    </row>
    <row r="285" spans="2:2" x14ac:dyDescent="0.3">
      <c r="B285">
        <v>28</v>
      </c>
    </row>
    <row r="286" spans="2:2" x14ac:dyDescent="0.3">
      <c r="B286">
        <v>27</v>
      </c>
    </row>
    <row r="287" spans="2:2" x14ac:dyDescent="0.3">
      <c r="B287">
        <v>33</v>
      </c>
    </row>
    <row r="288" spans="2:2" x14ac:dyDescent="0.3">
      <c r="B288">
        <v>28</v>
      </c>
    </row>
    <row r="289" spans="2:2" x14ac:dyDescent="0.3">
      <c r="B289">
        <v>29</v>
      </c>
    </row>
    <row r="290" spans="2:2" x14ac:dyDescent="0.3">
      <c r="B290">
        <v>27</v>
      </c>
    </row>
    <row r="291" spans="2:2" x14ac:dyDescent="0.3">
      <c r="B291">
        <v>28</v>
      </c>
    </row>
    <row r="292" spans="2:2" x14ac:dyDescent="0.3">
      <c r="B292">
        <v>29</v>
      </c>
    </row>
    <row r="293" spans="2:2" x14ac:dyDescent="0.3">
      <c r="B293">
        <v>31</v>
      </c>
    </row>
    <row r="294" spans="2:2" x14ac:dyDescent="0.3">
      <c r="B294">
        <v>28</v>
      </c>
    </row>
    <row r="295" spans="2:2" x14ac:dyDescent="0.3">
      <c r="B295">
        <v>31</v>
      </c>
    </row>
    <row r="296" spans="2:2" x14ac:dyDescent="0.3">
      <c r="B296">
        <v>28</v>
      </c>
    </row>
    <row r="297" spans="2:2" x14ac:dyDescent="0.3">
      <c r="B297">
        <v>35</v>
      </c>
    </row>
    <row r="298" spans="2:2" x14ac:dyDescent="0.3">
      <c r="B298">
        <v>25</v>
      </c>
    </row>
    <row r="299" spans="2:2" x14ac:dyDescent="0.3">
      <c r="B299">
        <v>26</v>
      </c>
    </row>
    <row r="300" spans="2:2" x14ac:dyDescent="0.3">
      <c r="B300">
        <v>26</v>
      </c>
    </row>
    <row r="301" spans="2:2" x14ac:dyDescent="0.3">
      <c r="B301">
        <v>33</v>
      </c>
    </row>
    <row r="302" spans="2:2" x14ac:dyDescent="0.3">
      <c r="B302">
        <v>28</v>
      </c>
    </row>
    <row r="303" spans="2:2" x14ac:dyDescent="0.3">
      <c r="B303">
        <v>26</v>
      </c>
    </row>
    <row r="304" spans="2:2" x14ac:dyDescent="0.3">
      <c r="B304">
        <v>28</v>
      </c>
    </row>
    <row r="305" spans="2:2" x14ac:dyDescent="0.3">
      <c r="B305">
        <v>28</v>
      </c>
    </row>
    <row r="306" spans="2:2" x14ac:dyDescent="0.3">
      <c r="B306">
        <v>26</v>
      </c>
    </row>
    <row r="307" spans="2:2" x14ac:dyDescent="0.3">
      <c r="B307">
        <v>28</v>
      </c>
    </row>
    <row r="308" spans="2:2" x14ac:dyDescent="0.3">
      <c r="B308">
        <v>31</v>
      </c>
    </row>
    <row r="309" spans="2:2" x14ac:dyDescent="0.3">
      <c r="B309">
        <v>29</v>
      </c>
    </row>
    <row r="310" spans="2:2" x14ac:dyDescent="0.3">
      <c r="B310">
        <v>34</v>
      </c>
    </row>
    <row r="311" spans="2:2" x14ac:dyDescent="0.3">
      <c r="B311">
        <v>29</v>
      </c>
    </row>
    <row r="312" spans="2:2" x14ac:dyDescent="0.3">
      <c r="B312">
        <v>32</v>
      </c>
    </row>
    <row r="313" spans="2:2" x14ac:dyDescent="0.3">
      <c r="B313">
        <v>28</v>
      </c>
    </row>
    <row r="314" spans="2:2" x14ac:dyDescent="0.3">
      <c r="B314">
        <v>27</v>
      </c>
    </row>
    <row r="315" spans="2:2" x14ac:dyDescent="0.3">
      <c r="B315">
        <v>33</v>
      </c>
    </row>
    <row r="316" spans="2:2" x14ac:dyDescent="0.3">
      <c r="B316">
        <v>28</v>
      </c>
    </row>
    <row r="317" spans="2:2" x14ac:dyDescent="0.3">
      <c r="B317">
        <v>30</v>
      </c>
    </row>
    <row r="318" spans="2:2" x14ac:dyDescent="0.3">
      <c r="B318">
        <v>29</v>
      </c>
    </row>
    <row r="319" spans="2:2" x14ac:dyDescent="0.3">
      <c r="B319">
        <v>34</v>
      </c>
    </row>
    <row r="320" spans="2:2" x14ac:dyDescent="0.3">
      <c r="B320">
        <v>29</v>
      </c>
    </row>
    <row r="321" spans="2:2" x14ac:dyDescent="0.3">
      <c r="B321">
        <v>34</v>
      </c>
    </row>
    <row r="322" spans="2:2" x14ac:dyDescent="0.3">
      <c r="B322">
        <v>31</v>
      </c>
    </row>
    <row r="323" spans="2:2" x14ac:dyDescent="0.3">
      <c r="B323">
        <v>26</v>
      </c>
    </row>
    <row r="324" spans="2:2" x14ac:dyDescent="0.3">
      <c r="B324">
        <v>29</v>
      </c>
    </row>
    <row r="325" spans="2:2" x14ac:dyDescent="0.3">
      <c r="B325">
        <v>32</v>
      </c>
    </row>
    <row r="326" spans="2:2" x14ac:dyDescent="0.3">
      <c r="B326">
        <v>31</v>
      </c>
    </row>
    <row r="327" spans="2:2" x14ac:dyDescent="0.3">
      <c r="B327">
        <v>31</v>
      </c>
    </row>
    <row r="328" spans="2:2" x14ac:dyDescent="0.3">
      <c r="B328">
        <v>29</v>
      </c>
    </row>
    <row r="329" spans="2:2" x14ac:dyDescent="0.3">
      <c r="B329">
        <v>28</v>
      </c>
    </row>
    <row r="330" spans="2:2" x14ac:dyDescent="0.3">
      <c r="B330">
        <v>28</v>
      </c>
    </row>
    <row r="331" spans="2:2" x14ac:dyDescent="0.3">
      <c r="B331">
        <v>32</v>
      </c>
    </row>
    <row r="332" spans="2:2" x14ac:dyDescent="0.3">
      <c r="B332">
        <v>31</v>
      </c>
    </row>
    <row r="333" spans="2:2" x14ac:dyDescent="0.3">
      <c r="B333">
        <v>31</v>
      </c>
    </row>
    <row r="334" spans="2:2" x14ac:dyDescent="0.3">
      <c r="B334">
        <v>29</v>
      </c>
    </row>
    <row r="335" spans="2:2" x14ac:dyDescent="0.3">
      <c r="B335">
        <v>27</v>
      </c>
    </row>
    <row r="336" spans="2:2" x14ac:dyDescent="0.3">
      <c r="B336">
        <v>27</v>
      </c>
    </row>
    <row r="337" spans="2:2" x14ac:dyDescent="0.3">
      <c r="B337">
        <v>31</v>
      </c>
    </row>
    <row r="338" spans="2:2" x14ac:dyDescent="0.3">
      <c r="B338">
        <v>35</v>
      </c>
    </row>
    <row r="339" spans="2:2" x14ac:dyDescent="0.3">
      <c r="B339">
        <v>28</v>
      </c>
    </row>
    <row r="340" spans="2:2" x14ac:dyDescent="0.3">
      <c r="B340">
        <v>33</v>
      </c>
    </row>
    <row r="341" spans="2:2" x14ac:dyDescent="0.3">
      <c r="B341">
        <v>32</v>
      </c>
    </row>
    <row r="342" spans="2:2" x14ac:dyDescent="0.3">
      <c r="B342">
        <v>26</v>
      </c>
    </row>
    <row r="343" spans="2:2" x14ac:dyDescent="0.3">
      <c r="B343">
        <v>31</v>
      </c>
    </row>
    <row r="344" spans="2:2" x14ac:dyDescent="0.3">
      <c r="B344">
        <v>28</v>
      </c>
    </row>
    <row r="345" spans="2:2" x14ac:dyDescent="0.3">
      <c r="B345">
        <v>25</v>
      </c>
    </row>
    <row r="346" spans="2:2" x14ac:dyDescent="0.3">
      <c r="B346">
        <v>28</v>
      </c>
    </row>
    <row r="347" spans="2:2" x14ac:dyDescent="0.3">
      <c r="B347">
        <v>29</v>
      </c>
    </row>
    <row r="348" spans="2:2" x14ac:dyDescent="0.3">
      <c r="B348">
        <v>28</v>
      </c>
    </row>
    <row r="349" spans="2:2" x14ac:dyDescent="0.3">
      <c r="B349">
        <v>29</v>
      </c>
    </row>
    <row r="350" spans="2:2" x14ac:dyDescent="0.3">
      <c r="B350">
        <v>30</v>
      </c>
    </row>
    <row r="351" spans="2:2" x14ac:dyDescent="0.3">
      <c r="B351">
        <v>28</v>
      </c>
    </row>
    <row r="352" spans="2:2" x14ac:dyDescent="0.3">
      <c r="B352">
        <v>33</v>
      </c>
    </row>
    <row r="353" spans="2:2" x14ac:dyDescent="0.3">
      <c r="B353">
        <v>29</v>
      </c>
    </row>
    <row r="354" spans="2:2" x14ac:dyDescent="0.3">
      <c r="B354">
        <v>27</v>
      </c>
    </row>
    <row r="355" spans="2:2" x14ac:dyDescent="0.3">
      <c r="B355">
        <v>34</v>
      </c>
    </row>
    <row r="356" spans="2:2" x14ac:dyDescent="0.3">
      <c r="B356">
        <v>31</v>
      </c>
    </row>
    <row r="357" spans="2:2" x14ac:dyDescent="0.3">
      <c r="B357">
        <v>26</v>
      </c>
    </row>
    <row r="358" spans="2:2" x14ac:dyDescent="0.3">
      <c r="B358">
        <v>28</v>
      </c>
    </row>
    <row r="359" spans="2:2" x14ac:dyDescent="0.3">
      <c r="B359">
        <v>27</v>
      </c>
    </row>
    <row r="360" spans="2:2" x14ac:dyDescent="0.3">
      <c r="B360">
        <v>28</v>
      </c>
    </row>
    <row r="361" spans="2:2" x14ac:dyDescent="0.3">
      <c r="B361">
        <v>34</v>
      </c>
    </row>
    <row r="362" spans="2:2" x14ac:dyDescent="0.3">
      <c r="B362">
        <v>27</v>
      </c>
    </row>
    <row r="363" spans="2:2" x14ac:dyDescent="0.3">
      <c r="B363">
        <v>33</v>
      </c>
    </row>
    <row r="364" spans="2:2" x14ac:dyDescent="0.3">
      <c r="B364">
        <v>32</v>
      </c>
    </row>
    <row r="365" spans="2:2" x14ac:dyDescent="0.3">
      <c r="B365">
        <v>26</v>
      </c>
    </row>
    <row r="366" spans="2:2" x14ac:dyDescent="0.3">
      <c r="B366">
        <v>33</v>
      </c>
    </row>
    <row r="367" spans="2:2" x14ac:dyDescent="0.3">
      <c r="B367">
        <v>27</v>
      </c>
    </row>
    <row r="368" spans="2:2" x14ac:dyDescent="0.3">
      <c r="B368">
        <v>34</v>
      </c>
    </row>
    <row r="369" spans="2:2" x14ac:dyDescent="0.3">
      <c r="B369">
        <v>29</v>
      </c>
    </row>
    <row r="370" spans="2:2" x14ac:dyDescent="0.3">
      <c r="B370">
        <v>33</v>
      </c>
    </row>
    <row r="371" spans="2:2" x14ac:dyDescent="0.3">
      <c r="B371">
        <v>29</v>
      </c>
    </row>
    <row r="372" spans="2:2" x14ac:dyDescent="0.3">
      <c r="B372">
        <v>28</v>
      </c>
    </row>
    <row r="373" spans="2:2" x14ac:dyDescent="0.3">
      <c r="B373">
        <v>27</v>
      </c>
    </row>
    <row r="374" spans="2:2" x14ac:dyDescent="0.3">
      <c r="B374">
        <v>35</v>
      </c>
    </row>
    <row r="375" spans="2:2" x14ac:dyDescent="0.3">
      <c r="B375">
        <v>27</v>
      </c>
    </row>
    <row r="376" spans="2:2" x14ac:dyDescent="0.3">
      <c r="B376">
        <v>25</v>
      </c>
    </row>
    <row r="377" spans="2:2" x14ac:dyDescent="0.3">
      <c r="B377">
        <v>32</v>
      </c>
    </row>
    <row r="378" spans="2:2" x14ac:dyDescent="0.3">
      <c r="B378">
        <v>28</v>
      </c>
    </row>
    <row r="379" spans="2:2" x14ac:dyDescent="0.3">
      <c r="B379">
        <v>27</v>
      </c>
    </row>
    <row r="380" spans="2:2" x14ac:dyDescent="0.3">
      <c r="B380">
        <v>29</v>
      </c>
    </row>
    <row r="381" spans="2:2" x14ac:dyDescent="0.3">
      <c r="B381">
        <v>34</v>
      </c>
    </row>
    <row r="382" spans="2:2" x14ac:dyDescent="0.3">
      <c r="B382">
        <v>33</v>
      </c>
    </row>
    <row r="383" spans="2:2" x14ac:dyDescent="0.3">
      <c r="B383">
        <v>31</v>
      </c>
    </row>
    <row r="384" spans="2:2" x14ac:dyDescent="0.3">
      <c r="B384">
        <v>28</v>
      </c>
    </row>
    <row r="385" spans="2:2" x14ac:dyDescent="0.3">
      <c r="B385">
        <v>29</v>
      </c>
    </row>
    <row r="386" spans="2:2" x14ac:dyDescent="0.3">
      <c r="B386">
        <v>29</v>
      </c>
    </row>
    <row r="387" spans="2:2" x14ac:dyDescent="0.3">
      <c r="B387">
        <v>28</v>
      </c>
    </row>
    <row r="388" spans="2:2" x14ac:dyDescent="0.3">
      <c r="B388">
        <v>28</v>
      </c>
    </row>
    <row r="389" spans="2:2" x14ac:dyDescent="0.3">
      <c r="B389">
        <v>25</v>
      </c>
    </row>
    <row r="390" spans="2:2" x14ac:dyDescent="0.3">
      <c r="B390">
        <v>28</v>
      </c>
    </row>
    <row r="391" spans="2:2" x14ac:dyDescent="0.3">
      <c r="B391">
        <v>33</v>
      </c>
    </row>
    <row r="392" spans="2:2" x14ac:dyDescent="0.3">
      <c r="B392">
        <v>25</v>
      </c>
    </row>
    <row r="393" spans="2:2" x14ac:dyDescent="0.3">
      <c r="B393">
        <v>34</v>
      </c>
    </row>
    <row r="394" spans="2:2" x14ac:dyDescent="0.3">
      <c r="B394">
        <v>34</v>
      </c>
    </row>
    <row r="395" spans="2:2" x14ac:dyDescent="0.3">
      <c r="B395">
        <v>34</v>
      </c>
    </row>
    <row r="396" spans="2:2" x14ac:dyDescent="0.3">
      <c r="B396">
        <v>32</v>
      </c>
    </row>
    <row r="397" spans="2:2" x14ac:dyDescent="0.3">
      <c r="B397">
        <v>28</v>
      </c>
    </row>
    <row r="398" spans="2:2" x14ac:dyDescent="0.3">
      <c r="B398">
        <v>28</v>
      </c>
    </row>
    <row r="399" spans="2:2" x14ac:dyDescent="0.3">
      <c r="B399">
        <v>31</v>
      </c>
    </row>
    <row r="400" spans="2:2" x14ac:dyDescent="0.3">
      <c r="B400">
        <v>28</v>
      </c>
    </row>
    <row r="401" spans="2:2" x14ac:dyDescent="0.3">
      <c r="B401">
        <v>28</v>
      </c>
    </row>
    <row r="402" spans="2:2" x14ac:dyDescent="0.3">
      <c r="B402">
        <v>31</v>
      </c>
    </row>
    <row r="403" spans="2:2" x14ac:dyDescent="0.3">
      <c r="B403">
        <v>34</v>
      </c>
    </row>
    <row r="404" spans="2:2" x14ac:dyDescent="0.3">
      <c r="B404">
        <v>28</v>
      </c>
    </row>
    <row r="405" spans="2:2" x14ac:dyDescent="0.3">
      <c r="B405">
        <v>27</v>
      </c>
    </row>
    <row r="406" spans="2:2" x14ac:dyDescent="0.3">
      <c r="B406">
        <v>29</v>
      </c>
    </row>
    <row r="407" spans="2:2" x14ac:dyDescent="0.3">
      <c r="B407">
        <v>28</v>
      </c>
    </row>
    <row r="408" spans="2:2" x14ac:dyDescent="0.3">
      <c r="B408">
        <v>32</v>
      </c>
    </row>
    <row r="409" spans="2:2" x14ac:dyDescent="0.3">
      <c r="B409">
        <v>28</v>
      </c>
    </row>
    <row r="410" spans="2:2" x14ac:dyDescent="0.3">
      <c r="B410">
        <v>34</v>
      </c>
    </row>
    <row r="411" spans="2:2" x14ac:dyDescent="0.3">
      <c r="B411">
        <v>31</v>
      </c>
    </row>
    <row r="412" spans="2:2" x14ac:dyDescent="0.3">
      <c r="B412">
        <v>28</v>
      </c>
    </row>
    <row r="413" spans="2:2" x14ac:dyDescent="0.3">
      <c r="B413">
        <v>27</v>
      </c>
    </row>
    <row r="414" spans="2:2" x14ac:dyDescent="0.3">
      <c r="B414">
        <v>28</v>
      </c>
    </row>
    <row r="415" spans="2:2" x14ac:dyDescent="0.3">
      <c r="B415">
        <v>25</v>
      </c>
    </row>
    <row r="416" spans="2:2" x14ac:dyDescent="0.3">
      <c r="B416">
        <v>28</v>
      </c>
    </row>
    <row r="417" spans="2:2" x14ac:dyDescent="0.3">
      <c r="B417">
        <v>34</v>
      </c>
    </row>
    <row r="418" spans="2:2" x14ac:dyDescent="0.3">
      <c r="B418">
        <v>28</v>
      </c>
    </row>
    <row r="419" spans="2:2" x14ac:dyDescent="0.3">
      <c r="B419">
        <v>34</v>
      </c>
    </row>
    <row r="420" spans="2:2" x14ac:dyDescent="0.3">
      <c r="B420">
        <v>28</v>
      </c>
    </row>
    <row r="421" spans="2:2" x14ac:dyDescent="0.3">
      <c r="B421">
        <v>34</v>
      </c>
    </row>
    <row r="422" spans="2:2" x14ac:dyDescent="0.3">
      <c r="B422">
        <v>31</v>
      </c>
    </row>
    <row r="423" spans="2:2" x14ac:dyDescent="0.3">
      <c r="B423">
        <v>27</v>
      </c>
    </row>
    <row r="424" spans="2:2" x14ac:dyDescent="0.3">
      <c r="B424">
        <v>34</v>
      </c>
    </row>
    <row r="425" spans="2:2" x14ac:dyDescent="0.3">
      <c r="B425">
        <v>26</v>
      </c>
    </row>
    <row r="426" spans="2:2" x14ac:dyDescent="0.3">
      <c r="B426">
        <v>28</v>
      </c>
    </row>
    <row r="427" spans="2:2" x14ac:dyDescent="0.3">
      <c r="B427">
        <v>32</v>
      </c>
    </row>
    <row r="428" spans="2:2" x14ac:dyDescent="0.3">
      <c r="B428">
        <v>28</v>
      </c>
    </row>
    <row r="429" spans="2:2" x14ac:dyDescent="0.3">
      <c r="B429">
        <v>28</v>
      </c>
    </row>
    <row r="430" spans="2:2" x14ac:dyDescent="0.3">
      <c r="B430">
        <v>28</v>
      </c>
    </row>
    <row r="431" spans="2:2" x14ac:dyDescent="0.3">
      <c r="B431">
        <v>28</v>
      </c>
    </row>
    <row r="432" spans="2:2" x14ac:dyDescent="0.3">
      <c r="B432">
        <v>27</v>
      </c>
    </row>
    <row r="433" spans="2:2" x14ac:dyDescent="0.3">
      <c r="B433">
        <v>32</v>
      </c>
    </row>
    <row r="434" spans="2:2" x14ac:dyDescent="0.3">
      <c r="B434">
        <v>28</v>
      </c>
    </row>
    <row r="435" spans="2:2" x14ac:dyDescent="0.3">
      <c r="B435">
        <v>31</v>
      </c>
    </row>
    <row r="436" spans="2:2" x14ac:dyDescent="0.3">
      <c r="B436">
        <v>34</v>
      </c>
    </row>
    <row r="437" spans="2:2" x14ac:dyDescent="0.3">
      <c r="B437">
        <v>28</v>
      </c>
    </row>
    <row r="438" spans="2:2" x14ac:dyDescent="0.3">
      <c r="B438">
        <v>28</v>
      </c>
    </row>
    <row r="439" spans="2:2" x14ac:dyDescent="0.3">
      <c r="B439">
        <v>26</v>
      </c>
    </row>
    <row r="440" spans="2:2" x14ac:dyDescent="0.3">
      <c r="B440">
        <v>28</v>
      </c>
    </row>
    <row r="441" spans="2:2" x14ac:dyDescent="0.3">
      <c r="B441">
        <v>28</v>
      </c>
    </row>
    <row r="442" spans="2:2" x14ac:dyDescent="0.3">
      <c r="B442">
        <v>26</v>
      </c>
    </row>
    <row r="443" spans="2:2" x14ac:dyDescent="0.3">
      <c r="B443">
        <v>33</v>
      </c>
    </row>
    <row r="444" spans="2:2" x14ac:dyDescent="0.3">
      <c r="B444">
        <v>26</v>
      </c>
    </row>
    <row r="445" spans="2:2" x14ac:dyDescent="0.3">
      <c r="B445">
        <v>28</v>
      </c>
    </row>
    <row r="446" spans="2:2" x14ac:dyDescent="0.3">
      <c r="B446">
        <v>29</v>
      </c>
    </row>
    <row r="447" spans="2:2" x14ac:dyDescent="0.3">
      <c r="B447">
        <v>27</v>
      </c>
    </row>
    <row r="448" spans="2:2" x14ac:dyDescent="0.3">
      <c r="B448">
        <v>27</v>
      </c>
    </row>
    <row r="449" spans="2:2" x14ac:dyDescent="0.3">
      <c r="B449">
        <v>27</v>
      </c>
    </row>
    <row r="450" spans="2:2" x14ac:dyDescent="0.3">
      <c r="B450">
        <v>29</v>
      </c>
    </row>
    <row r="451" spans="2:2" x14ac:dyDescent="0.3">
      <c r="B451">
        <v>27</v>
      </c>
    </row>
    <row r="452" spans="2:2" x14ac:dyDescent="0.3">
      <c r="B452">
        <v>26</v>
      </c>
    </row>
    <row r="453" spans="2:2" x14ac:dyDescent="0.3">
      <c r="B453">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7A8C-87AC-4F56-84C2-B9153ED7C309}">
  <dimension ref="A1:F453"/>
  <sheetViews>
    <sheetView workbookViewId="0">
      <selection activeCell="E26" sqref="E26"/>
    </sheetView>
  </sheetViews>
  <sheetFormatPr defaultRowHeight="14.4" x14ac:dyDescent="0.3"/>
  <cols>
    <col min="1" max="1" width="20" customWidth="1"/>
    <col min="2" max="2" width="20.33203125" customWidth="1"/>
    <col min="4" max="4" width="29.6640625" customWidth="1"/>
    <col min="5" max="5" width="28" customWidth="1"/>
    <col min="6" max="6" width="26.5546875" customWidth="1"/>
  </cols>
  <sheetData>
    <row r="1" spans="1:6" x14ac:dyDescent="0.3">
      <c r="A1" t="s">
        <v>46</v>
      </c>
      <c r="B1" t="s">
        <v>45</v>
      </c>
    </row>
    <row r="2" spans="1:6" x14ac:dyDescent="0.3">
      <c r="A2">
        <v>4</v>
      </c>
      <c r="B2">
        <v>6</v>
      </c>
    </row>
    <row r="3" spans="1:6" x14ac:dyDescent="0.3">
      <c r="A3">
        <v>3</v>
      </c>
      <c r="B3">
        <v>7</v>
      </c>
    </row>
    <row r="4" spans="1:6" x14ac:dyDescent="0.3">
      <c r="A4">
        <v>6</v>
      </c>
      <c r="B4">
        <v>3</v>
      </c>
    </row>
    <row r="5" spans="1:6" ht="21" x14ac:dyDescent="0.4">
      <c r="A5">
        <v>5</v>
      </c>
      <c r="B5">
        <v>8</v>
      </c>
      <c r="D5" s="10" t="s">
        <v>34</v>
      </c>
      <c r="E5" s="10"/>
      <c r="F5" s="10"/>
    </row>
    <row r="6" spans="1:6" ht="15" thickBot="1" x14ac:dyDescent="0.35">
      <c r="A6">
        <v>6</v>
      </c>
      <c r="B6">
        <v>4</v>
      </c>
    </row>
    <row r="7" spans="1:6" x14ac:dyDescent="0.3">
      <c r="A7">
        <v>6</v>
      </c>
      <c r="B7">
        <v>4</v>
      </c>
      <c r="D7" s="2"/>
      <c r="E7" s="2" t="s">
        <v>46</v>
      </c>
      <c r="F7" s="2" t="s">
        <v>45</v>
      </c>
    </row>
    <row r="8" spans="1:6" x14ac:dyDescent="0.3">
      <c r="A8">
        <v>7</v>
      </c>
      <c r="B8">
        <v>3</v>
      </c>
      <c r="D8" t="s">
        <v>12</v>
      </c>
      <c r="E8">
        <v>4.982608695652174</v>
      </c>
      <c r="F8">
        <v>4.7610619469026547</v>
      </c>
    </row>
    <row r="9" spans="1:6" x14ac:dyDescent="0.3">
      <c r="A9">
        <v>5</v>
      </c>
      <c r="B9">
        <v>9</v>
      </c>
      <c r="D9" t="s">
        <v>35</v>
      </c>
      <c r="E9">
        <v>2.707119802544141</v>
      </c>
      <c r="F9">
        <v>2.5857975393913244</v>
      </c>
    </row>
    <row r="10" spans="1:6" x14ac:dyDescent="0.3">
      <c r="A10">
        <v>2</v>
      </c>
      <c r="B10">
        <v>3</v>
      </c>
      <c r="D10" t="s">
        <v>36</v>
      </c>
      <c r="E10">
        <v>230</v>
      </c>
      <c r="F10">
        <v>452</v>
      </c>
    </row>
    <row r="11" spans="1:6" x14ac:dyDescent="0.3">
      <c r="A11">
        <v>3</v>
      </c>
      <c r="B11">
        <v>7</v>
      </c>
      <c r="D11" t="s">
        <v>37</v>
      </c>
      <c r="E11">
        <v>0</v>
      </c>
    </row>
    <row r="12" spans="1:6" x14ac:dyDescent="0.3">
      <c r="A12">
        <v>9</v>
      </c>
      <c r="B12">
        <v>4</v>
      </c>
      <c r="D12" t="s">
        <v>38</v>
      </c>
      <c r="E12">
        <v>452</v>
      </c>
    </row>
    <row r="13" spans="1:6" x14ac:dyDescent="0.3">
      <c r="A13">
        <v>6</v>
      </c>
      <c r="B13">
        <v>6</v>
      </c>
      <c r="D13" s="15" t="s">
        <v>39</v>
      </c>
      <c r="E13" s="15">
        <v>1.6751726999369683</v>
      </c>
    </row>
    <row r="14" spans="1:6" x14ac:dyDescent="0.3">
      <c r="A14">
        <v>4</v>
      </c>
      <c r="B14">
        <v>4</v>
      </c>
      <c r="D14" t="s">
        <v>40</v>
      </c>
      <c r="E14">
        <v>4.7295989057486609E-2</v>
      </c>
    </row>
    <row r="15" spans="1:6" x14ac:dyDescent="0.3">
      <c r="A15">
        <v>9</v>
      </c>
      <c r="B15">
        <v>7</v>
      </c>
      <c r="D15" t="s">
        <v>41</v>
      </c>
      <c r="E15">
        <v>1.6482317597075515</v>
      </c>
    </row>
    <row r="16" spans="1:6" x14ac:dyDescent="0.3">
      <c r="A16">
        <v>5</v>
      </c>
      <c r="B16">
        <v>4</v>
      </c>
      <c r="D16" s="12" t="s">
        <v>42</v>
      </c>
      <c r="E16" s="12">
        <v>9.4591978114973219E-2</v>
      </c>
    </row>
    <row r="17" spans="1:6" ht="15" thickBot="1" x14ac:dyDescent="0.35">
      <c r="A17">
        <v>3</v>
      </c>
      <c r="B17">
        <v>2</v>
      </c>
      <c r="D17" s="16" t="s">
        <v>43</v>
      </c>
      <c r="E17" s="16">
        <v>1.9652262151230684</v>
      </c>
      <c r="F17" s="1"/>
    </row>
    <row r="18" spans="1:6" x14ac:dyDescent="0.3">
      <c r="A18">
        <v>2</v>
      </c>
      <c r="B18">
        <v>4</v>
      </c>
    </row>
    <row r="19" spans="1:6" x14ac:dyDescent="0.3">
      <c r="A19">
        <v>4</v>
      </c>
      <c r="B19">
        <v>3</v>
      </c>
    </row>
    <row r="20" spans="1:6" x14ac:dyDescent="0.3">
      <c r="A20">
        <v>7</v>
      </c>
      <c r="B20">
        <v>6</v>
      </c>
    </row>
    <row r="21" spans="1:6" x14ac:dyDescent="0.3">
      <c r="A21">
        <v>5</v>
      </c>
      <c r="B21">
        <v>4</v>
      </c>
    </row>
    <row r="22" spans="1:6" x14ac:dyDescent="0.3">
      <c r="A22">
        <v>4</v>
      </c>
      <c r="B22">
        <v>3</v>
      </c>
    </row>
    <row r="23" spans="1:6" x14ac:dyDescent="0.3">
      <c r="A23">
        <v>3</v>
      </c>
      <c r="B23">
        <v>4</v>
      </c>
    </row>
    <row r="24" spans="1:6" x14ac:dyDescent="0.3">
      <c r="A24">
        <v>3</v>
      </c>
      <c r="B24">
        <v>9</v>
      </c>
    </row>
    <row r="25" spans="1:6" x14ac:dyDescent="0.3">
      <c r="A25">
        <v>6</v>
      </c>
      <c r="B25">
        <v>4</v>
      </c>
    </row>
    <row r="26" spans="1:6" x14ac:dyDescent="0.3">
      <c r="A26">
        <v>6</v>
      </c>
      <c r="B26">
        <v>2</v>
      </c>
    </row>
    <row r="27" spans="1:6" x14ac:dyDescent="0.3">
      <c r="A27">
        <v>9</v>
      </c>
      <c r="B27">
        <v>5</v>
      </c>
    </row>
    <row r="28" spans="1:6" x14ac:dyDescent="0.3">
      <c r="A28">
        <v>3</v>
      </c>
      <c r="B28">
        <v>5</v>
      </c>
    </row>
    <row r="29" spans="1:6" x14ac:dyDescent="0.3">
      <c r="A29">
        <v>9</v>
      </c>
      <c r="B29">
        <v>3</v>
      </c>
    </row>
    <row r="30" spans="1:6" x14ac:dyDescent="0.3">
      <c r="A30">
        <v>3</v>
      </c>
      <c r="B30">
        <v>3</v>
      </c>
    </row>
    <row r="31" spans="1:6" x14ac:dyDescent="0.3">
      <c r="A31">
        <v>3</v>
      </c>
      <c r="B31">
        <v>3</v>
      </c>
    </row>
    <row r="32" spans="1:6" x14ac:dyDescent="0.3">
      <c r="A32">
        <v>3</v>
      </c>
      <c r="B32">
        <v>4</v>
      </c>
    </row>
    <row r="33" spans="1:2" x14ac:dyDescent="0.3">
      <c r="A33">
        <v>4</v>
      </c>
      <c r="B33">
        <v>2</v>
      </c>
    </row>
    <row r="34" spans="1:2" x14ac:dyDescent="0.3">
      <c r="A34">
        <v>4</v>
      </c>
      <c r="B34">
        <v>7</v>
      </c>
    </row>
    <row r="35" spans="1:2" x14ac:dyDescent="0.3">
      <c r="A35">
        <v>7</v>
      </c>
      <c r="B35">
        <v>5</v>
      </c>
    </row>
    <row r="36" spans="1:2" x14ac:dyDescent="0.3">
      <c r="A36">
        <v>5</v>
      </c>
      <c r="B36">
        <v>4</v>
      </c>
    </row>
    <row r="37" spans="1:2" x14ac:dyDescent="0.3">
      <c r="A37">
        <v>6</v>
      </c>
      <c r="B37">
        <v>4</v>
      </c>
    </row>
    <row r="38" spans="1:2" x14ac:dyDescent="0.3">
      <c r="A38">
        <v>3</v>
      </c>
      <c r="B38">
        <v>2</v>
      </c>
    </row>
    <row r="39" spans="1:2" x14ac:dyDescent="0.3">
      <c r="A39">
        <v>5</v>
      </c>
      <c r="B39">
        <v>5</v>
      </c>
    </row>
    <row r="40" spans="1:2" x14ac:dyDescent="0.3">
      <c r="A40">
        <v>4</v>
      </c>
      <c r="B40">
        <v>6</v>
      </c>
    </row>
    <row r="41" spans="1:2" x14ac:dyDescent="0.3">
      <c r="A41">
        <v>3</v>
      </c>
      <c r="B41">
        <v>4</v>
      </c>
    </row>
    <row r="42" spans="1:2" x14ac:dyDescent="0.3">
      <c r="A42">
        <v>5</v>
      </c>
      <c r="B42">
        <v>4</v>
      </c>
    </row>
    <row r="43" spans="1:2" x14ac:dyDescent="0.3">
      <c r="A43">
        <v>4</v>
      </c>
      <c r="B43">
        <v>4</v>
      </c>
    </row>
    <row r="44" spans="1:2" x14ac:dyDescent="0.3">
      <c r="A44">
        <v>6</v>
      </c>
      <c r="B44">
        <v>6</v>
      </c>
    </row>
    <row r="45" spans="1:2" x14ac:dyDescent="0.3">
      <c r="A45">
        <v>3</v>
      </c>
      <c r="B45">
        <v>6</v>
      </c>
    </row>
    <row r="46" spans="1:2" x14ac:dyDescent="0.3">
      <c r="A46">
        <v>8</v>
      </c>
      <c r="B46">
        <v>7</v>
      </c>
    </row>
    <row r="47" spans="1:2" x14ac:dyDescent="0.3">
      <c r="A47">
        <v>4</v>
      </c>
      <c r="B47">
        <v>4</v>
      </c>
    </row>
    <row r="48" spans="1:2" x14ac:dyDescent="0.3">
      <c r="A48">
        <v>6</v>
      </c>
      <c r="B48">
        <v>5</v>
      </c>
    </row>
    <row r="49" spans="1:2" x14ac:dyDescent="0.3">
      <c r="A49">
        <v>6</v>
      </c>
      <c r="B49">
        <v>4</v>
      </c>
    </row>
    <row r="50" spans="1:2" x14ac:dyDescent="0.3">
      <c r="A50">
        <v>7</v>
      </c>
      <c r="B50">
        <v>5</v>
      </c>
    </row>
    <row r="51" spans="1:2" x14ac:dyDescent="0.3">
      <c r="A51">
        <v>3</v>
      </c>
      <c r="B51">
        <v>4</v>
      </c>
    </row>
    <row r="52" spans="1:2" x14ac:dyDescent="0.3">
      <c r="A52">
        <v>4</v>
      </c>
      <c r="B52">
        <v>8</v>
      </c>
    </row>
    <row r="53" spans="1:2" x14ac:dyDescent="0.3">
      <c r="A53">
        <v>2</v>
      </c>
      <c r="B53">
        <v>4</v>
      </c>
    </row>
    <row r="54" spans="1:2" x14ac:dyDescent="0.3">
      <c r="A54">
        <v>7</v>
      </c>
      <c r="B54">
        <v>6</v>
      </c>
    </row>
    <row r="55" spans="1:2" x14ac:dyDescent="0.3">
      <c r="A55">
        <v>6</v>
      </c>
      <c r="B55">
        <v>4</v>
      </c>
    </row>
    <row r="56" spans="1:2" x14ac:dyDescent="0.3">
      <c r="A56">
        <v>6</v>
      </c>
      <c r="B56">
        <v>6</v>
      </c>
    </row>
    <row r="57" spans="1:2" x14ac:dyDescent="0.3">
      <c r="A57">
        <v>5</v>
      </c>
      <c r="B57">
        <v>5</v>
      </c>
    </row>
    <row r="58" spans="1:2" x14ac:dyDescent="0.3">
      <c r="A58">
        <v>3</v>
      </c>
      <c r="B58">
        <v>8</v>
      </c>
    </row>
    <row r="59" spans="1:2" x14ac:dyDescent="0.3">
      <c r="A59">
        <v>7</v>
      </c>
      <c r="B59">
        <v>3</v>
      </c>
    </row>
    <row r="60" spans="1:2" x14ac:dyDescent="0.3">
      <c r="A60">
        <v>6</v>
      </c>
      <c r="B60">
        <v>4</v>
      </c>
    </row>
    <row r="61" spans="1:2" x14ac:dyDescent="0.3">
      <c r="A61">
        <v>5</v>
      </c>
      <c r="B61">
        <v>5</v>
      </c>
    </row>
    <row r="62" spans="1:2" x14ac:dyDescent="0.3">
      <c r="A62">
        <v>6</v>
      </c>
      <c r="B62">
        <v>4</v>
      </c>
    </row>
    <row r="63" spans="1:2" x14ac:dyDescent="0.3">
      <c r="A63">
        <v>6</v>
      </c>
      <c r="B63">
        <v>4</v>
      </c>
    </row>
    <row r="64" spans="1:2" x14ac:dyDescent="0.3">
      <c r="A64">
        <v>3</v>
      </c>
      <c r="B64">
        <v>7</v>
      </c>
    </row>
    <row r="65" spans="1:2" x14ac:dyDescent="0.3">
      <c r="A65">
        <v>4</v>
      </c>
      <c r="B65">
        <v>6</v>
      </c>
    </row>
    <row r="66" spans="1:2" x14ac:dyDescent="0.3">
      <c r="A66">
        <v>9</v>
      </c>
      <c r="B66">
        <v>3</v>
      </c>
    </row>
    <row r="67" spans="1:2" x14ac:dyDescent="0.3">
      <c r="A67">
        <v>7</v>
      </c>
      <c r="B67">
        <v>3</v>
      </c>
    </row>
    <row r="68" spans="1:2" x14ac:dyDescent="0.3">
      <c r="A68">
        <v>5</v>
      </c>
      <c r="B68">
        <v>3</v>
      </c>
    </row>
    <row r="69" spans="1:2" x14ac:dyDescent="0.3">
      <c r="A69">
        <v>7</v>
      </c>
      <c r="B69">
        <v>3</v>
      </c>
    </row>
    <row r="70" spans="1:2" x14ac:dyDescent="0.3">
      <c r="A70">
        <v>4</v>
      </c>
      <c r="B70">
        <v>3</v>
      </c>
    </row>
    <row r="71" spans="1:2" x14ac:dyDescent="0.3">
      <c r="A71">
        <v>5</v>
      </c>
      <c r="B71">
        <v>3</v>
      </c>
    </row>
    <row r="72" spans="1:2" x14ac:dyDescent="0.3">
      <c r="A72">
        <v>4</v>
      </c>
      <c r="B72">
        <v>5</v>
      </c>
    </row>
    <row r="73" spans="1:2" x14ac:dyDescent="0.3">
      <c r="A73">
        <v>2</v>
      </c>
      <c r="B73">
        <v>5</v>
      </c>
    </row>
    <row r="74" spans="1:2" x14ac:dyDescent="0.3">
      <c r="A74">
        <v>7</v>
      </c>
      <c r="B74">
        <v>4</v>
      </c>
    </row>
    <row r="75" spans="1:2" x14ac:dyDescent="0.3">
      <c r="A75">
        <v>5</v>
      </c>
      <c r="B75">
        <v>4</v>
      </c>
    </row>
    <row r="76" spans="1:2" x14ac:dyDescent="0.3">
      <c r="A76">
        <v>4</v>
      </c>
      <c r="B76">
        <v>5</v>
      </c>
    </row>
    <row r="77" spans="1:2" x14ac:dyDescent="0.3">
      <c r="A77">
        <v>5</v>
      </c>
      <c r="B77">
        <v>4</v>
      </c>
    </row>
    <row r="78" spans="1:2" x14ac:dyDescent="0.3">
      <c r="A78">
        <v>8</v>
      </c>
      <c r="B78">
        <v>5</v>
      </c>
    </row>
    <row r="79" spans="1:2" x14ac:dyDescent="0.3">
      <c r="A79">
        <v>9</v>
      </c>
      <c r="B79">
        <v>4</v>
      </c>
    </row>
    <row r="80" spans="1:2" x14ac:dyDescent="0.3">
      <c r="A80">
        <v>5</v>
      </c>
      <c r="B80">
        <v>3</v>
      </c>
    </row>
    <row r="81" spans="1:2" x14ac:dyDescent="0.3">
      <c r="A81">
        <v>6</v>
      </c>
      <c r="B81">
        <v>6</v>
      </c>
    </row>
    <row r="82" spans="1:2" x14ac:dyDescent="0.3">
      <c r="A82">
        <v>3</v>
      </c>
      <c r="B82">
        <v>3</v>
      </c>
    </row>
    <row r="83" spans="1:2" x14ac:dyDescent="0.3">
      <c r="A83">
        <v>6</v>
      </c>
      <c r="B83">
        <v>4</v>
      </c>
    </row>
    <row r="84" spans="1:2" x14ac:dyDescent="0.3">
      <c r="A84">
        <v>6</v>
      </c>
      <c r="B84">
        <v>5</v>
      </c>
    </row>
    <row r="85" spans="1:2" x14ac:dyDescent="0.3">
      <c r="A85">
        <v>5</v>
      </c>
      <c r="B85">
        <v>5</v>
      </c>
    </row>
    <row r="86" spans="1:2" x14ac:dyDescent="0.3">
      <c r="A86">
        <v>2</v>
      </c>
      <c r="B86">
        <v>6</v>
      </c>
    </row>
    <row r="87" spans="1:2" x14ac:dyDescent="0.3">
      <c r="A87">
        <v>5</v>
      </c>
      <c r="B87">
        <v>4</v>
      </c>
    </row>
    <row r="88" spans="1:2" x14ac:dyDescent="0.3">
      <c r="A88">
        <v>7</v>
      </c>
      <c r="B88">
        <v>4</v>
      </c>
    </row>
    <row r="89" spans="1:2" x14ac:dyDescent="0.3">
      <c r="A89">
        <v>5</v>
      </c>
      <c r="B89">
        <v>4</v>
      </c>
    </row>
    <row r="90" spans="1:2" x14ac:dyDescent="0.3">
      <c r="A90">
        <v>3</v>
      </c>
      <c r="B90">
        <v>5</v>
      </c>
    </row>
    <row r="91" spans="1:2" x14ac:dyDescent="0.3">
      <c r="A91">
        <v>3</v>
      </c>
      <c r="B91">
        <v>4</v>
      </c>
    </row>
    <row r="92" spans="1:2" x14ac:dyDescent="0.3">
      <c r="A92">
        <v>4</v>
      </c>
      <c r="B92">
        <v>4</v>
      </c>
    </row>
    <row r="93" spans="1:2" x14ac:dyDescent="0.3">
      <c r="A93">
        <v>4</v>
      </c>
      <c r="B93">
        <v>4</v>
      </c>
    </row>
    <row r="94" spans="1:2" x14ac:dyDescent="0.3">
      <c r="A94">
        <v>6</v>
      </c>
      <c r="B94">
        <v>3</v>
      </c>
    </row>
    <row r="95" spans="1:2" x14ac:dyDescent="0.3">
      <c r="A95">
        <v>6</v>
      </c>
      <c r="B95">
        <v>9</v>
      </c>
    </row>
    <row r="96" spans="1:2" x14ac:dyDescent="0.3">
      <c r="A96">
        <v>6</v>
      </c>
      <c r="B96">
        <v>4</v>
      </c>
    </row>
    <row r="97" spans="1:2" x14ac:dyDescent="0.3">
      <c r="A97">
        <v>7</v>
      </c>
      <c r="B97">
        <v>4</v>
      </c>
    </row>
    <row r="98" spans="1:2" x14ac:dyDescent="0.3">
      <c r="A98">
        <v>4</v>
      </c>
      <c r="B98">
        <v>6</v>
      </c>
    </row>
    <row r="99" spans="1:2" x14ac:dyDescent="0.3">
      <c r="A99">
        <v>5</v>
      </c>
      <c r="B99">
        <v>4</v>
      </c>
    </row>
    <row r="100" spans="1:2" x14ac:dyDescent="0.3">
      <c r="A100">
        <v>4</v>
      </c>
      <c r="B100">
        <v>5</v>
      </c>
    </row>
    <row r="101" spans="1:2" x14ac:dyDescent="0.3">
      <c r="A101">
        <v>3</v>
      </c>
      <c r="B101">
        <v>5</v>
      </c>
    </row>
    <row r="102" spans="1:2" x14ac:dyDescent="0.3">
      <c r="A102">
        <v>3</v>
      </c>
      <c r="B102">
        <v>5</v>
      </c>
    </row>
    <row r="103" spans="1:2" x14ac:dyDescent="0.3">
      <c r="A103">
        <v>7</v>
      </c>
      <c r="B103">
        <v>4</v>
      </c>
    </row>
    <row r="104" spans="1:2" x14ac:dyDescent="0.3">
      <c r="A104">
        <v>4</v>
      </c>
      <c r="B104">
        <v>4</v>
      </c>
    </row>
    <row r="105" spans="1:2" x14ac:dyDescent="0.3">
      <c r="A105">
        <v>5</v>
      </c>
      <c r="B105">
        <v>3</v>
      </c>
    </row>
    <row r="106" spans="1:2" x14ac:dyDescent="0.3">
      <c r="A106">
        <v>6</v>
      </c>
      <c r="B106">
        <v>7</v>
      </c>
    </row>
    <row r="107" spans="1:2" x14ac:dyDescent="0.3">
      <c r="A107">
        <v>5</v>
      </c>
      <c r="B107">
        <v>5</v>
      </c>
    </row>
    <row r="108" spans="1:2" x14ac:dyDescent="0.3">
      <c r="A108">
        <v>4</v>
      </c>
      <c r="B108">
        <v>6</v>
      </c>
    </row>
    <row r="109" spans="1:2" x14ac:dyDescent="0.3">
      <c r="A109">
        <v>7</v>
      </c>
      <c r="B109">
        <v>4</v>
      </c>
    </row>
    <row r="110" spans="1:2" x14ac:dyDescent="0.3">
      <c r="A110">
        <v>4</v>
      </c>
      <c r="B110">
        <v>7</v>
      </c>
    </row>
    <row r="111" spans="1:2" x14ac:dyDescent="0.3">
      <c r="A111">
        <v>5</v>
      </c>
      <c r="B111">
        <v>3</v>
      </c>
    </row>
    <row r="112" spans="1:2" x14ac:dyDescent="0.3">
      <c r="A112">
        <v>6</v>
      </c>
      <c r="B112">
        <v>7</v>
      </c>
    </row>
    <row r="113" spans="1:2" x14ac:dyDescent="0.3">
      <c r="A113">
        <v>3</v>
      </c>
      <c r="B113">
        <v>6</v>
      </c>
    </row>
    <row r="114" spans="1:2" x14ac:dyDescent="0.3">
      <c r="A114">
        <v>2</v>
      </c>
      <c r="B114">
        <v>7</v>
      </c>
    </row>
    <row r="115" spans="1:2" x14ac:dyDescent="0.3">
      <c r="A115">
        <v>5</v>
      </c>
      <c r="B115">
        <v>8</v>
      </c>
    </row>
    <row r="116" spans="1:2" x14ac:dyDescent="0.3">
      <c r="A116">
        <v>6</v>
      </c>
      <c r="B116">
        <v>3</v>
      </c>
    </row>
    <row r="117" spans="1:2" x14ac:dyDescent="0.3">
      <c r="A117">
        <v>4</v>
      </c>
      <c r="B117">
        <v>5</v>
      </c>
    </row>
    <row r="118" spans="1:2" x14ac:dyDescent="0.3">
      <c r="A118">
        <v>7</v>
      </c>
      <c r="B118">
        <v>6</v>
      </c>
    </row>
    <row r="119" spans="1:2" x14ac:dyDescent="0.3">
      <c r="A119">
        <v>3</v>
      </c>
      <c r="B119">
        <v>4</v>
      </c>
    </row>
    <row r="120" spans="1:2" x14ac:dyDescent="0.3">
      <c r="A120">
        <v>2</v>
      </c>
      <c r="B120">
        <v>6</v>
      </c>
    </row>
    <row r="121" spans="1:2" x14ac:dyDescent="0.3">
      <c r="A121">
        <v>2</v>
      </c>
      <c r="B121">
        <v>3</v>
      </c>
    </row>
    <row r="122" spans="1:2" x14ac:dyDescent="0.3">
      <c r="A122">
        <v>7</v>
      </c>
      <c r="B122">
        <v>3</v>
      </c>
    </row>
    <row r="123" spans="1:2" x14ac:dyDescent="0.3">
      <c r="A123">
        <v>6</v>
      </c>
      <c r="B123">
        <v>3</v>
      </c>
    </row>
    <row r="124" spans="1:2" x14ac:dyDescent="0.3">
      <c r="A124">
        <v>5</v>
      </c>
      <c r="B124">
        <v>9</v>
      </c>
    </row>
    <row r="125" spans="1:2" x14ac:dyDescent="0.3">
      <c r="A125">
        <v>3</v>
      </c>
      <c r="B125">
        <v>4</v>
      </c>
    </row>
    <row r="126" spans="1:2" x14ac:dyDescent="0.3">
      <c r="A126">
        <v>4</v>
      </c>
      <c r="B126">
        <v>5</v>
      </c>
    </row>
    <row r="127" spans="1:2" x14ac:dyDescent="0.3">
      <c r="A127">
        <v>3</v>
      </c>
      <c r="B127">
        <v>3</v>
      </c>
    </row>
    <row r="128" spans="1:2" x14ac:dyDescent="0.3">
      <c r="A128">
        <v>3</v>
      </c>
      <c r="B128">
        <v>4</v>
      </c>
    </row>
    <row r="129" spans="1:2" x14ac:dyDescent="0.3">
      <c r="A129">
        <v>6</v>
      </c>
      <c r="B129">
        <v>5</v>
      </c>
    </row>
    <row r="130" spans="1:2" x14ac:dyDescent="0.3">
      <c r="A130">
        <v>4</v>
      </c>
      <c r="B130">
        <v>5</v>
      </c>
    </row>
    <row r="131" spans="1:2" x14ac:dyDescent="0.3">
      <c r="A131">
        <v>5</v>
      </c>
      <c r="B131">
        <v>5</v>
      </c>
    </row>
    <row r="132" spans="1:2" x14ac:dyDescent="0.3">
      <c r="A132">
        <v>6</v>
      </c>
      <c r="B132">
        <v>4</v>
      </c>
    </row>
    <row r="133" spans="1:2" x14ac:dyDescent="0.3">
      <c r="A133">
        <v>6</v>
      </c>
      <c r="B133">
        <v>4</v>
      </c>
    </row>
    <row r="134" spans="1:2" x14ac:dyDescent="0.3">
      <c r="A134">
        <v>5</v>
      </c>
      <c r="B134">
        <v>4</v>
      </c>
    </row>
    <row r="135" spans="1:2" x14ac:dyDescent="0.3">
      <c r="A135">
        <v>5</v>
      </c>
      <c r="B135">
        <v>3</v>
      </c>
    </row>
    <row r="136" spans="1:2" x14ac:dyDescent="0.3">
      <c r="A136">
        <v>5</v>
      </c>
      <c r="B136">
        <v>3</v>
      </c>
    </row>
    <row r="137" spans="1:2" x14ac:dyDescent="0.3">
      <c r="A137">
        <v>5</v>
      </c>
      <c r="B137">
        <v>5</v>
      </c>
    </row>
    <row r="138" spans="1:2" x14ac:dyDescent="0.3">
      <c r="A138">
        <v>4</v>
      </c>
      <c r="B138">
        <v>5</v>
      </c>
    </row>
    <row r="139" spans="1:2" x14ac:dyDescent="0.3">
      <c r="A139">
        <v>4</v>
      </c>
      <c r="B139">
        <v>5</v>
      </c>
    </row>
    <row r="140" spans="1:2" x14ac:dyDescent="0.3">
      <c r="A140">
        <v>6</v>
      </c>
      <c r="B140">
        <v>5</v>
      </c>
    </row>
    <row r="141" spans="1:2" x14ac:dyDescent="0.3">
      <c r="A141">
        <v>5</v>
      </c>
      <c r="B141">
        <v>5</v>
      </c>
    </row>
    <row r="142" spans="1:2" x14ac:dyDescent="0.3">
      <c r="A142">
        <v>9</v>
      </c>
      <c r="B142">
        <v>6</v>
      </c>
    </row>
    <row r="143" spans="1:2" x14ac:dyDescent="0.3">
      <c r="A143">
        <v>6</v>
      </c>
      <c r="B143">
        <v>7</v>
      </c>
    </row>
    <row r="144" spans="1:2" x14ac:dyDescent="0.3">
      <c r="A144">
        <v>5</v>
      </c>
      <c r="B144">
        <v>9</v>
      </c>
    </row>
    <row r="145" spans="1:2" x14ac:dyDescent="0.3">
      <c r="A145">
        <v>4</v>
      </c>
      <c r="B145">
        <v>2</v>
      </c>
    </row>
    <row r="146" spans="1:2" x14ac:dyDescent="0.3">
      <c r="A146">
        <v>7</v>
      </c>
      <c r="B146">
        <v>6</v>
      </c>
    </row>
    <row r="147" spans="1:2" x14ac:dyDescent="0.3">
      <c r="A147">
        <v>3</v>
      </c>
      <c r="B147">
        <v>3</v>
      </c>
    </row>
    <row r="148" spans="1:2" x14ac:dyDescent="0.3">
      <c r="A148">
        <v>7</v>
      </c>
      <c r="B148">
        <v>3</v>
      </c>
    </row>
    <row r="149" spans="1:2" x14ac:dyDescent="0.3">
      <c r="A149">
        <v>5</v>
      </c>
      <c r="B149">
        <v>5</v>
      </c>
    </row>
    <row r="150" spans="1:2" x14ac:dyDescent="0.3">
      <c r="A150">
        <v>7</v>
      </c>
      <c r="B150">
        <v>2</v>
      </c>
    </row>
    <row r="151" spans="1:2" x14ac:dyDescent="0.3">
      <c r="A151">
        <v>7</v>
      </c>
      <c r="B151">
        <v>6</v>
      </c>
    </row>
    <row r="152" spans="1:2" x14ac:dyDescent="0.3">
      <c r="A152">
        <v>7</v>
      </c>
      <c r="B152">
        <v>5</v>
      </c>
    </row>
    <row r="153" spans="1:2" x14ac:dyDescent="0.3">
      <c r="A153">
        <v>7</v>
      </c>
      <c r="B153">
        <v>2</v>
      </c>
    </row>
    <row r="154" spans="1:2" x14ac:dyDescent="0.3">
      <c r="A154">
        <v>4</v>
      </c>
      <c r="B154">
        <v>7</v>
      </c>
    </row>
    <row r="155" spans="1:2" x14ac:dyDescent="0.3">
      <c r="A155">
        <v>4</v>
      </c>
      <c r="B155">
        <v>5</v>
      </c>
    </row>
    <row r="156" spans="1:2" x14ac:dyDescent="0.3">
      <c r="A156">
        <v>5</v>
      </c>
      <c r="B156">
        <v>6</v>
      </c>
    </row>
    <row r="157" spans="1:2" x14ac:dyDescent="0.3">
      <c r="A157">
        <v>6</v>
      </c>
      <c r="B157">
        <v>6</v>
      </c>
    </row>
    <row r="158" spans="1:2" x14ac:dyDescent="0.3">
      <c r="A158">
        <v>4</v>
      </c>
      <c r="B158">
        <v>4</v>
      </c>
    </row>
    <row r="159" spans="1:2" x14ac:dyDescent="0.3">
      <c r="A159">
        <v>4</v>
      </c>
      <c r="B159">
        <v>4</v>
      </c>
    </row>
    <row r="160" spans="1:2" x14ac:dyDescent="0.3">
      <c r="A160">
        <v>3</v>
      </c>
      <c r="B160">
        <v>8</v>
      </c>
    </row>
    <row r="161" spans="1:2" x14ac:dyDescent="0.3">
      <c r="A161">
        <v>4</v>
      </c>
      <c r="B161">
        <v>3</v>
      </c>
    </row>
    <row r="162" spans="1:2" x14ac:dyDescent="0.3">
      <c r="A162">
        <v>5</v>
      </c>
      <c r="B162">
        <v>5</v>
      </c>
    </row>
    <row r="163" spans="1:2" x14ac:dyDescent="0.3">
      <c r="A163">
        <v>5</v>
      </c>
      <c r="B163">
        <v>7</v>
      </c>
    </row>
    <row r="164" spans="1:2" x14ac:dyDescent="0.3">
      <c r="A164">
        <v>6</v>
      </c>
      <c r="B164">
        <v>4</v>
      </c>
    </row>
    <row r="165" spans="1:2" x14ac:dyDescent="0.3">
      <c r="A165">
        <v>4</v>
      </c>
      <c r="B165">
        <v>6</v>
      </c>
    </row>
    <row r="166" spans="1:2" x14ac:dyDescent="0.3">
      <c r="A166">
        <v>5</v>
      </c>
      <c r="B166">
        <v>4</v>
      </c>
    </row>
    <row r="167" spans="1:2" x14ac:dyDescent="0.3">
      <c r="A167">
        <v>5</v>
      </c>
      <c r="B167">
        <v>3</v>
      </c>
    </row>
    <row r="168" spans="1:2" x14ac:dyDescent="0.3">
      <c r="A168">
        <v>5</v>
      </c>
      <c r="B168">
        <v>6</v>
      </c>
    </row>
    <row r="169" spans="1:2" x14ac:dyDescent="0.3">
      <c r="A169">
        <v>8</v>
      </c>
      <c r="B169">
        <v>5</v>
      </c>
    </row>
    <row r="170" spans="1:2" x14ac:dyDescent="0.3">
      <c r="A170">
        <v>4</v>
      </c>
      <c r="B170">
        <v>5</v>
      </c>
    </row>
    <row r="171" spans="1:2" x14ac:dyDescent="0.3">
      <c r="A171">
        <v>4</v>
      </c>
      <c r="B171">
        <v>5</v>
      </c>
    </row>
    <row r="172" spans="1:2" x14ac:dyDescent="0.3">
      <c r="A172">
        <v>6</v>
      </c>
      <c r="B172">
        <v>7</v>
      </c>
    </row>
    <row r="173" spans="1:2" x14ac:dyDescent="0.3">
      <c r="A173">
        <v>7</v>
      </c>
      <c r="B173">
        <v>4</v>
      </c>
    </row>
    <row r="174" spans="1:2" x14ac:dyDescent="0.3">
      <c r="A174">
        <v>6</v>
      </c>
      <c r="B174">
        <v>4</v>
      </c>
    </row>
    <row r="175" spans="1:2" x14ac:dyDescent="0.3">
      <c r="A175">
        <v>4</v>
      </c>
      <c r="B175">
        <v>9</v>
      </c>
    </row>
    <row r="176" spans="1:2" x14ac:dyDescent="0.3">
      <c r="A176">
        <v>4</v>
      </c>
      <c r="B176">
        <v>6</v>
      </c>
    </row>
    <row r="177" spans="1:2" x14ac:dyDescent="0.3">
      <c r="A177">
        <v>5</v>
      </c>
      <c r="B177">
        <v>5</v>
      </c>
    </row>
    <row r="178" spans="1:2" x14ac:dyDescent="0.3">
      <c r="A178">
        <v>4</v>
      </c>
      <c r="B178">
        <v>5</v>
      </c>
    </row>
    <row r="179" spans="1:2" x14ac:dyDescent="0.3">
      <c r="A179">
        <v>4</v>
      </c>
      <c r="B179">
        <v>3</v>
      </c>
    </row>
    <row r="180" spans="1:2" x14ac:dyDescent="0.3">
      <c r="A180">
        <v>6</v>
      </c>
      <c r="B180">
        <v>3</v>
      </c>
    </row>
    <row r="181" spans="1:2" x14ac:dyDescent="0.3">
      <c r="A181">
        <v>6</v>
      </c>
      <c r="B181">
        <v>6</v>
      </c>
    </row>
    <row r="182" spans="1:2" x14ac:dyDescent="0.3">
      <c r="A182">
        <v>4</v>
      </c>
      <c r="B182">
        <v>7</v>
      </c>
    </row>
    <row r="183" spans="1:2" x14ac:dyDescent="0.3">
      <c r="A183">
        <v>5</v>
      </c>
      <c r="B183">
        <v>6</v>
      </c>
    </row>
    <row r="184" spans="1:2" x14ac:dyDescent="0.3">
      <c r="A184">
        <v>4</v>
      </c>
      <c r="B184">
        <v>6</v>
      </c>
    </row>
    <row r="185" spans="1:2" x14ac:dyDescent="0.3">
      <c r="A185">
        <v>3</v>
      </c>
      <c r="B185">
        <v>6</v>
      </c>
    </row>
    <row r="186" spans="1:2" x14ac:dyDescent="0.3">
      <c r="A186">
        <v>6</v>
      </c>
      <c r="B186">
        <v>4</v>
      </c>
    </row>
    <row r="187" spans="1:2" x14ac:dyDescent="0.3">
      <c r="A187">
        <v>5</v>
      </c>
      <c r="B187">
        <v>4</v>
      </c>
    </row>
    <row r="188" spans="1:2" x14ac:dyDescent="0.3">
      <c r="A188">
        <v>4</v>
      </c>
      <c r="B188">
        <v>3</v>
      </c>
    </row>
    <row r="189" spans="1:2" x14ac:dyDescent="0.3">
      <c r="A189">
        <v>5</v>
      </c>
      <c r="B189">
        <v>4</v>
      </c>
    </row>
    <row r="190" spans="1:2" x14ac:dyDescent="0.3">
      <c r="A190">
        <v>8</v>
      </c>
      <c r="B190">
        <v>4</v>
      </c>
    </row>
    <row r="191" spans="1:2" x14ac:dyDescent="0.3">
      <c r="A191">
        <v>3</v>
      </c>
      <c r="B191">
        <v>3</v>
      </c>
    </row>
    <row r="192" spans="1:2" x14ac:dyDescent="0.3">
      <c r="A192">
        <v>4</v>
      </c>
      <c r="B192">
        <v>6</v>
      </c>
    </row>
    <row r="193" spans="1:2" x14ac:dyDescent="0.3">
      <c r="A193">
        <v>9</v>
      </c>
      <c r="B193">
        <v>3</v>
      </c>
    </row>
    <row r="194" spans="1:2" x14ac:dyDescent="0.3">
      <c r="A194">
        <v>3</v>
      </c>
      <c r="B194">
        <v>4</v>
      </c>
    </row>
    <row r="195" spans="1:2" x14ac:dyDescent="0.3">
      <c r="A195">
        <v>7</v>
      </c>
      <c r="B195">
        <v>4</v>
      </c>
    </row>
    <row r="196" spans="1:2" x14ac:dyDescent="0.3">
      <c r="A196">
        <v>3</v>
      </c>
      <c r="B196">
        <v>5</v>
      </c>
    </row>
    <row r="197" spans="1:2" x14ac:dyDescent="0.3">
      <c r="A197">
        <v>7</v>
      </c>
      <c r="B197">
        <v>7</v>
      </c>
    </row>
    <row r="198" spans="1:2" x14ac:dyDescent="0.3">
      <c r="A198">
        <v>6</v>
      </c>
      <c r="B198">
        <v>3</v>
      </c>
    </row>
    <row r="199" spans="1:2" x14ac:dyDescent="0.3">
      <c r="A199">
        <v>3</v>
      </c>
      <c r="B199">
        <v>4</v>
      </c>
    </row>
    <row r="200" spans="1:2" x14ac:dyDescent="0.3">
      <c r="A200">
        <v>3</v>
      </c>
      <c r="B200">
        <v>3</v>
      </c>
    </row>
    <row r="201" spans="1:2" x14ac:dyDescent="0.3">
      <c r="A201">
        <v>3</v>
      </c>
      <c r="B201">
        <v>3</v>
      </c>
    </row>
    <row r="202" spans="1:2" x14ac:dyDescent="0.3">
      <c r="A202">
        <v>7</v>
      </c>
      <c r="B202">
        <v>4</v>
      </c>
    </row>
    <row r="203" spans="1:2" x14ac:dyDescent="0.3">
      <c r="A203">
        <v>9</v>
      </c>
      <c r="B203">
        <v>8</v>
      </c>
    </row>
    <row r="204" spans="1:2" x14ac:dyDescent="0.3">
      <c r="A204">
        <v>6</v>
      </c>
      <c r="B204">
        <v>9</v>
      </c>
    </row>
    <row r="205" spans="1:2" x14ac:dyDescent="0.3">
      <c r="A205">
        <v>3</v>
      </c>
      <c r="B205">
        <v>8</v>
      </c>
    </row>
    <row r="206" spans="1:2" x14ac:dyDescent="0.3">
      <c r="A206">
        <v>4</v>
      </c>
      <c r="B206">
        <v>7</v>
      </c>
    </row>
    <row r="207" spans="1:2" x14ac:dyDescent="0.3">
      <c r="A207">
        <v>5</v>
      </c>
      <c r="B207">
        <v>4</v>
      </c>
    </row>
    <row r="208" spans="1:2" x14ac:dyDescent="0.3">
      <c r="A208">
        <v>6</v>
      </c>
      <c r="B208">
        <v>5</v>
      </c>
    </row>
    <row r="209" spans="1:2" x14ac:dyDescent="0.3">
      <c r="A209">
        <v>4</v>
      </c>
      <c r="B209">
        <v>5</v>
      </c>
    </row>
    <row r="210" spans="1:2" x14ac:dyDescent="0.3">
      <c r="A210">
        <v>4</v>
      </c>
      <c r="B210">
        <v>3</v>
      </c>
    </row>
    <row r="211" spans="1:2" x14ac:dyDescent="0.3">
      <c r="A211">
        <v>6</v>
      </c>
      <c r="B211">
        <v>3</v>
      </c>
    </row>
    <row r="212" spans="1:2" x14ac:dyDescent="0.3">
      <c r="A212">
        <v>5</v>
      </c>
      <c r="B212">
        <v>5</v>
      </c>
    </row>
    <row r="213" spans="1:2" x14ac:dyDescent="0.3">
      <c r="A213">
        <v>4</v>
      </c>
      <c r="B213">
        <v>4</v>
      </c>
    </row>
    <row r="214" spans="1:2" x14ac:dyDescent="0.3">
      <c r="A214">
        <v>7</v>
      </c>
      <c r="B214">
        <v>5</v>
      </c>
    </row>
    <row r="215" spans="1:2" x14ac:dyDescent="0.3">
      <c r="A215">
        <v>5</v>
      </c>
      <c r="B215">
        <v>3</v>
      </c>
    </row>
    <row r="216" spans="1:2" x14ac:dyDescent="0.3">
      <c r="A216">
        <v>2</v>
      </c>
      <c r="B216">
        <v>8</v>
      </c>
    </row>
    <row r="217" spans="1:2" x14ac:dyDescent="0.3">
      <c r="A217">
        <v>6</v>
      </c>
      <c r="B217">
        <v>4</v>
      </c>
    </row>
    <row r="218" spans="1:2" x14ac:dyDescent="0.3">
      <c r="A218">
        <v>6</v>
      </c>
      <c r="B218">
        <v>6</v>
      </c>
    </row>
    <row r="219" spans="1:2" x14ac:dyDescent="0.3">
      <c r="A219">
        <v>4</v>
      </c>
      <c r="B219">
        <v>9</v>
      </c>
    </row>
    <row r="220" spans="1:2" x14ac:dyDescent="0.3">
      <c r="A220">
        <v>3</v>
      </c>
      <c r="B220">
        <v>7</v>
      </c>
    </row>
    <row r="221" spans="1:2" x14ac:dyDescent="0.3">
      <c r="A221">
        <v>5</v>
      </c>
      <c r="B221">
        <v>3</v>
      </c>
    </row>
    <row r="222" spans="1:2" x14ac:dyDescent="0.3">
      <c r="A222">
        <v>4</v>
      </c>
      <c r="B222">
        <v>5</v>
      </c>
    </row>
    <row r="223" spans="1:2" x14ac:dyDescent="0.3">
      <c r="A223">
        <v>8</v>
      </c>
      <c r="B223">
        <v>7</v>
      </c>
    </row>
    <row r="224" spans="1:2" x14ac:dyDescent="0.3">
      <c r="A224">
        <v>6</v>
      </c>
      <c r="B224">
        <v>7</v>
      </c>
    </row>
    <row r="225" spans="1:2" x14ac:dyDescent="0.3">
      <c r="A225">
        <v>5</v>
      </c>
      <c r="B225">
        <v>7</v>
      </c>
    </row>
    <row r="226" spans="1:2" x14ac:dyDescent="0.3">
      <c r="A226">
        <v>6</v>
      </c>
      <c r="B226">
        <v>4</v>
      </c>
    </row>
    <row r="227" spans="1:2" x14ac:dyDescent="0.3">
      <c r="A227">
        <v>6</v>
      </c>
      <c r="B227">
        <v>5</v>
      </c>
    </row>
    <row r="228" spans="1:2" x14ac:dyDescent="0.3">
      <c r="A228">
        <v>4</v>
      </c>
      <c r="B228">
        <v>6</v>
      </c>
    </row>
    <row r="229" spans="1:2" x14ac:dyDescent="0.3">
      <c r="A229">
        <v>3</v>
      </c>
      <c r="B229">
        <v>6</v>
      </c>
    </row>
    <row r="230" spans="1:2" x14ac:dyDescent="0.3">
      <c r="A230">
        <v>4</v>
      </c>
      <c r="B230">
        <v>3</v>
      </c>
    </row>
    <row r="231" spans="1:2" x14ac:dyDescent="0.3">
      <c r="A231">
        <v>4</v>
      </c>
      <c r="B231">
        <v>5</v>
      </c>
    </row>
    <row r="232" spans="1:2" x14ac:dyDescent="0.3">
      <c r="B232">
        <v>9</v>
      </c>
    </row>
    <row r="233" spans="1:2" x14ac:dyDescent="0.3">
      <c r="B233">
        <v>3</v>
      </c>
    </row>
    <row r="234" spans="1:2" x14ac:dyDescent="0.3">
      <c r="B234">
        <v>4</v>
      </c>
    </row>
    <row r="235" spans="1:2" x14ac:dyDescent="0.3">
      <c r="B235">
        <v>5</v>
      </c>
    </row>
    <row r="236" spans="1:2" x14ac:dyDescent="0.3">
      <c r="B236">
        <v>5</v>
      </c>
    </row>
    <row r="237" spans="1:2" x14ac:dyDescent="0.3">
      <c r="B237">
        <v>3</v>
      </c>
    </row>
    <row r="238" spans="1:2" x14ac:dyDescent="0.3">
      <c r="B238">
        <v>4</v>
      </c>
    </row>
    <row r="239" spans="1:2" x14ac:dyDescent="0.3">
      <c r="B239">
        <v>2</v>
      </c>
    </row>
    <row r="240" spans="1:2" x14ac:dyDescent="0.3">
      <c r="B240">
        <v>4</v>
      </c>
    </row>
    <row r="241" spans="2:2" x14ac:dyDescent="0.3">
      <c r="B241">
        <v>6</v>
      </c>
    </row>
    <row r="242" spans="2:2" x14ac:dyDescent="0.3">
      <c r="B242">
        <v>3</v>
      </c>
    </row>
    <row r="243" spans="2:2" x14ac:dyDescent="0.3">
      <c r="B243">
        <v>4</v>
      </c>
    </row>
    <row r="244" spans="2:2" x14ac:dyDescent="0.3">
      <c r="B244">
        <v>7</v>
      </c>
    </row>
    <row r="245" spans="2:2" x14ac:dyDescent="0.3">
      <c r="B245">
        <v>5</v>
      </c>
    </row>
    <row r="246" spans="2:2" x14ac:dyDescent="0.3">
      <c r="B246">
        <v>5</v>
      </c>
    </row>
    <row r="247" spans="2:2" x14ac:dyDescent="0.3">
      <c r="B247">
        <v>5</v>
      </c>
    </row>
    <row r="248" spans="2:2" x14ac:dyDescent="0.3">
      <c r="B248">
        <v>7</v>
      </c>
    </row>
    <row r="249" spans="2:2" x14ac:dyDescent="0.3">
      <c r="B249">
        <v>6</v>
      </c>
    </row>
    <row r="250" spans="2:2" x14ac:dyDescent="0.3">
      <c r="B250">
        <v>4</v>
      </c>
    </row>
    <row r="251" spans="2:2" x14ac:dyDescent="0.3">
      <c r="B251">
        <v>5</v>
      </c>
    </row>
    <row r="252" spans="2:2" x14ac:dyDescent="0.3">
      <c r="B252">
        <v>5</v>
      </c>
    </row>
    <row r="253" spans="2:2" x14ac:dyDescent="0.3">
      <c r="B253">
        <v>4</v>
      </c>
    </row>
    <row r="254" spans="2:2" x14ac:dyDescent="0.3">
      <c r="B254">
        <v>3</v>
      </c>
    </row>
    <row r="255" spans="2:2" x14ac:dyDescent="0.3">
      <c r="B255">
        <v>5</v>
      </c>
    </row>
    <row r="256" spans="2:2" x14ac:dyDescent="0.3">
      <c r="B256">
        <v>5</v>
      </c>
    </row>
    <row r="257" spans="2:2" x14ac:dyDescent="0.3">
      <c r="B257">
        <v>5</v>
      </c>
    </row>
    <row r="258" spans="2:2" x14ac:dyDescent="0.3">
      <c r="B258">
        <v>3</v>
      </c>
    </row>
    <row r="259" spans="2:2" x14ac:dyDescent="0.3">
      <c r="B259">
        <v>5</v>
      </c>
    </row>
    <row r="260" spans="2:2" x14ac:dyDescent="0.3">
      <c r="B260">
        <v>5</v>
      </c>
    </row>
    <row r="261" spans="2:2" x14ac:dyDescent="0.3">
      <c r="B261">
        <v>5</v>
      </c>
    </row>
    <row r="262" spans="2:2" x14ac:dyDescent="0.3">
      <c r="B262">
        <v>5</v>
      </c>
    </row>
    <row r="263" spans="2:2" x14ac:dyDescent="0.3">
      <c r="B263">
        <v>4</v>
      </c>
    </row>
    <row r="264" spans="2:2" x14ac:dyDescent="0.3">
      <c r="B264">
        <v>4</v>
      </c>
    </row>
    <row r="265" spans="2:2" x14ac:dyDescent="0.3">
      <c r="B265">
        <v>3</v>
      </c>
    </row>
    <row r="266" spans="2:2" x14ac:dyDescent="0.3">
      <c r="B266">
        <v>8</v>
      </c>
    </row>
    <row r="267" spans="2:2" x14ac:dyDescent="0.3">
      <c r="B267">
        <v>6</v>
      </c>
    </row>
    <row r="268" spans="2:2" x14ac:dyDescent="0.3">
      <c r="B268">
        <v>2</v>
      </c>
    </row>
    <row r="269" spans="2:2" x14ac:dyDescent="0.3">
      <c r="B269">
        <v>5</v>
      </c>
    </row>
    <row r="270" spans="2:2" x14ac:dyDescent="0.3">
      <c r="B270">
        <v>4</v>
      </c>
    </row>
    <row r="271" spans="2:2" x14ac:dyDescent="0.3">
      <c r="B271">
        <v>6</v>
      </c>
    </row>
    <row r="272" spans="2:2" x14ac:dyDescent="0.3">
      <c r="B272">
        <v>7</v>
      </c>
    </row>
    <row r="273" spans="2:2" x14ac:dyDescent="0.3">
      <c r="B273">
        <v>5</v>
      </c>
    </row>
    <row r="274" spans="2:2" x14ac:dyDescent="0.3">
      <c r="B274">
        <v>3</v>
      </c>
    </row>
    <row r="275" spans="2:2" x14ac:dyDescent="0.3">
      <c r="B275">
        <v>4</v>
      </c>
    </row>
    <row r="276" spans="2:2" x14ac:dyDescent="0.3">
      <c r="B276">
        <v>5</v>
      </c>
    </row>
    <row r="277" spans="2:2" x14ac:dyDescent="0.3">
      <c r="B277">
        <v>4</v>
      </c>
    </row>
    <row r="278" spans="2:2" x14ac:dyDescent="0.3">
      <c r="B278">
        <v>5</v>
      </c>
    </row>
    <row r="279" spans="2:2" x14ac:dyDescent="0.3">
      <c r="B279">
        <v>5</v>
      </c>
    </row>
    <row r="280" spans="2:2" x14ac:dyDescent="0.3">
      <c r="B280">
        <v>5</v>
      </c>
    </row>
    <row r="281" spans="2:2" x14ac:dyDescent="0.3">
      <c r="B281">
        <v>2</v>
      </c>
    </row>
    <row r="282" spans="2:2" x14ac:dyDescent="0.3">
      <c r="B282">
        <v>6</v>
      </c>
    </row>
    <row r="283" spans="2:2" x14ac:dyDescent="0.3">
      <c r="B283">
        <v>5</v>
      </c>
    </row>
    <row r="284" spans="2:2" x14ac:dyDescent="0.3">
      <c r="B284">
        <v>4</v>
      </c>
    </row>
    <row r="285" spans="2:2" x14ac:dyDescent="0.3">
      <c r="B285">
        <v>4</v>
      </c>
    </row>
    <row r="286" spans="2:2" x14ac:dyDescent="0.3">
      <c r="B286">
        <v>7</v>
      </c>
    </row>
    <row r="287" spans="2:2" x14ac:dyDescent="0.3">
      <c r="B287">
        <v>5</v>
      </c>
    </row>
    <row r="288" spans="2:2" x14ac:dyDescent="0.3">
      <c r="B288">
        <v>3</v>
      </c>
    </row>
    <row r="289" spans="2:2" x14ac:dyDescent="0.3">
      <c r="B289">
        <v>9</v>
      </c>
    </row>
    <row r="290" spans="2:2" x14ac:dyDescent="0.3">
      <c r="B290">
        <v>6</v>
      </c>
    </row>
    <row r="291" spans="2:2" x14ac:dyDescent="0.3">
      <c r="B291">
        <v>2</v>
      </c>
    </row>
    <row r="292" spans="2:2" x14ac:dyDescent="0.3">
      <c r="B292">
        <v>3</v>
      </c>
    </row>
    <row r="293" spans="2:2" x14ac:dyDescent="0.3">
      <c r="B293">
        <v>6</v>
      </c>
    </row>
    <row r="294" spans="2:2" x14ac:dyDescent="0.3">
      <c r="B294">
        <v>4</v>
      </c>
    </row>
    <row r="295" spans="2:2" x14ac:dyDescent="0.3">
      <c r="B295">
        <v>3</v>
      </c>
    </row>
    <row r="296" spans="2:2" x14ac:dyDescent="0.3">
      <c r="B296">
        <v>4</v>
      </c>
    </row>
    <row r="297" spans="2:2" x14ac:dyDescent="0.3">
      <c r="B297">
        <v>4</v>
      </c>
    </row>
    <row r="298" spans="2:2" x14ac:dyDescent="0.3">
      <c r="B298">
        <v>4</v>
      </c>
    </row>
    <row r="299" spans="2:2" x14ac:dyDescent="0.3">
      <c r="B299">
        <v>3</v>
      </c>
    </row>
    <row r="300" spans="2:2" x14ac:dyDescent="0.3">
      <c r="B300">
        <v>6</v>
      </c>
    </row>
    <row r="301" spans="2:2" x14ac:dyDescent="0.3">
      <c r="B301">
        <v>2</v>
      </c>
    </row>
    <row r="302" spans="2:2" x14ac:dyDescent="0.3">
      <c r="B302">
        <v>4</v>
      </c>
    </row>
    <row r="303" spans="2:2" x14ac:dyDescent="0.3">
      <c r="B303">
        <v>5</v>
      </c>
    </row>
    <row r="304" spans="2:2" x14ac:dyDescent="0.3">
      <c r="B304">
        <v>5</v>
      </c>
    </row>
    <row r="305" spans="2:2" x14ac:dyDescent="0.3">
      <c r="B305">
        <v>2</v>
      </c>
    </row>
    <row r="306" spans="2:2" x14ac:dyDescent="0.3">
      <c r="B306">
        <v>3</v>
      </c>
    </row>
    <row r="307" spans="2:2" x14ac:dyDescent="0.3">
      <c r="B307">
        <v>5</v>
      </c>
    </row>
    <row r="308" spans="2:2" x14ac:dyDescent="0.3">
      <c r="B308">
        <v>3</v>
      </c>
    </row>
    <row r="309" spans="2:2" x14ac:dyDescent="0.3">
      <c r="B309">
        <v>4</v>
      </c>
    </row>
    <row r="310" spans="2:2" x14ac:dyDescent="0.3">
      <c r="B310">
        <v>4</v>
      </c>
    </row>
    <row r="311" spans="2:2" x14ac:dyDescent="0.3">
      <c r="B311">
        <v>4</v>
      </c>
    </row>
    <row r="312" spans="2:2" x14ac:dyDescent="0.3">
      <c r="B312">
        <v>9</v>
      </c>
    </row>
    <row r="313" spans="2:2" x14ac:dyDescent="0.3">
      <c r="B313">
        <v>4</v>
      </c>
    </row>
    <row r="314" spans="2:2" x14ac:dyDescent="0.3">
      <c r="B314">
        <v>4</v>
      </c>
    </row>
    <row r="315" spans="2:2" x14ac:dyDescent="0.3">
      <c r="B315">
        <v>4</v>
      </c>
    </row>
    <row r="316" spans="2:2" x14ac:dyDescent="0.3">
      <c r="B316">
        <v>3</v>
      </c>
    </row>
    <row r="317" spans="2:2" x14ac:dyDescent="0.3">
      <c r="B317">
        <v>9</v>
      </c>
    </row>
    <row r="318" spans="2:2" x14ac:dyDescent="0.3">
      <c r="B318">
        <v>5</v>
      </c>
    </row>
    <row r="319" spans="2:2" x14ac:dyDescent="0.3">
      <c r="B319">
        <v>3</v>
      </c>
    </row>
    <row r="320" spans="2:2" x14ac:dyDescent="0.3">
      <c r="B320">
        <v>7</v>
      </c>
    </row>
    <row r="321" spans="2:2" x14ac:dyDescent="0.3">
      <c r="B321">
        <v>5</v>
      </c>
    </row>
    <row r="322" spans="2:2" x14ac:dyDescent="0.3">
      <c r="B322">
        <v>4</v>
      </c>
    </row>
    <row r="323" spans="2:2" x14ac:dyDescent="0.3">
      <c r="B323">
        <v>7</v>
      </c>
    </row>
    <row r="324" spans="2:2" x14ac:dyDescent="0.3">
      <c r="B324">
        <v>5</v>
      </c>
    </row>
    <row r="325" spans="2:2" x14ac:dyDescent="0.3">
      <c r="B325">
        <v>6</v>
      </c>
    </row>
    <row r="326" spans="2:2" x14ac:dyDescent="0.3">
      <c r="B326">
        <v>3</v>
      </c>
    </row>
    <row r="327" spans="2:2" x14ac:dyDescent="0.3">
      <c r="B327">
        <v>5</v>
      </c>
    </row>
    <row r="328" spans="2:2" x14ac:dyDescent="0.3">
      <c r="B328">
        <v>4</v>
      </c>
    </row>
    <row r="329" spans="2:2" x14ac:dyDescent="0.3">
      <c r="B329">
        <v>4</v>
      </c>
    </row>
    <row r="330" spans="2:2" x14ac:dyDescent="0.3">
      <c r="B330">
        <v>6</v>
      </c>
    </row>
    <row r="331" spans="2:2" x14ac:dyDescent="0.3">
      <c r="B331">
        <v>2</v>
      </c>
    </row>
    <row r="332" spans="2:2" x14ac:dyDescent="0.3">
      <c r="B332">
        <v>5</v>
      </c>
    </row>
    <row r="333" spans="2:2" x14ac:dyDescent="0.3">
      <c r="B333">
        <v>3</v>
      </c>
    </row>
    <row r="334" spans="2:2" x14ac:dyDescent="0.3">
      <c r="B334">
        <v>5</v>
      </c>
    </row>
    <row r="335" spans="2:2" x14ac:dyDescent="0.3">
      <c r="B335">
        <v>5</v>
      </c>
    </row>
    <row r="336" spans="2:2" x14ac:dyDescent="0.3">
      <c r="B336">
        <v>7</v>
      </c>
    </row>
    <row r="337" spans="2:2" x14ac:dyDescent="0.3">
      <c r="B337">
        <v>3</v>
      </c>
    </row>
    <row r="338" spans="2:2" x14ac:dyDescent="0.3">
      <c r="B338">
        <v>4</v>
      </c>
    </row>
    <row r="339" spans="2:2" x14ac:dyDescent="0.3">
      <c r="B339">
        <v>6</v>
      </c>
    </row>
    <row r="340" spans="2:2" x14ac:dyDescent="0.3">
      <c r="B340">
        <v>5</v>
      </c>
    </row>
    <row r="341" spans="2:2" x14ac:dyDescent="0.3">
      <c r="B341">
        <v>4</v>
      </c>
    </row>
    <row r="342" spans="2:2" x14ac:dyDescent="0.3">
      <c r="B342">
        <v>9</v>
      </c>
    </row>
    <row r="343" spans="2:2" x14ac:dyDescent="0.3">
      <c r="B343">
        <v>4</v>
      </c>
    </row>
    <row r="344" spans="2:2" x14ac:dyDescent="0.3">
      <c r="B344">
        <v>4</v>
      </c>
    </row>
    <row r="345" spans="2:2" x14ac:dyDescent="0.3">
      <c r="B345">
        <v>5</v>
      </c>
    </row>
    <row r="346" spans="2:2" x14ac:dyDescent="0.3">
      <c r="B346">
        <v>4</v>
      </c>
    </row>
    <row r="347" spans="2:2" x14ac:dyDescent="0.3">
      <c r="B347">
        <v>3</v>
      </c>
    </row>
    <row r="348" spans="2:2" x14ac:dyDescent="0.3">
      <c r="B348">
        <v>6</v>
      </c>
    </row>
    <row r="349" spans="2:2" x14ac:dyDescent="0.3">
      <c r="B349">
        <v>3</v>
      </c>
    </row>
    <row r="350" spans="2:2" x14ac:dyDescent="0.3">
      <c r="B350">
        <v>3</v>
      </c>
    </row>
    <row r="351" spans="2:2" x14ac:dyDescent="0.3">
      <c r="B351">
        <v>2</v>
      </c>
    </row>
    <row r="352" spans="2:2" x14ac:dyDescent="0.3">
      <c r="B352">
        <v>4</v>
      </c>
    </row>
    <row r="353" spans="2:2" x14ac:dyDescent="0.3">
      <c r="B353">
        <v>5</v>
      </c>
    </row>
    <row r="354" spans="2:2" x14ac:dyDescent="0.3">
      <c r="B354">
        <v>4</v>
      </c>
    </row>
    <row r="355" spans="2:2" x14ac:dyDescent="0.3">
      <c r="B355">
        <v>3</v>
      </c>
    </row>
    <row r="356" spans="2:2" x14ac:dyDescent="0.3">
      <c r="B356">
        <v>3</v>
      </c>
    </row>
    <row r="357" spans="2:2" x14ac:dyDescent="0.3">
      <c r="B357">
        <v>6</v>
      </c>
    </row>
    <row r="358" spans="2:2" x14ac:dyDescent="0.3">
      <c r="B358">
        <v>3</v>
      </c>
    </row>
    <row r="359" spans="2:2" x14ac:dyDescent="0.3">
      <c r="B359">
        <v>5</v>
      </c>
    </row>
    <row r="360" spans="2:2" x14ac:dyDescent="0.3">
      <c r="B360">
        <v>5</v>
      </c>
    </row>
    <row r="361" spans="2:2" x14ac:dyDescent="0.3">
      <c r="B361">
        <v>5</v>
      </c>
    </row>
    <row r="362" spans="2:2" x14ac:dyDescent="0.3">
      <c r="B362">
        <v>4</v>
      </c>
    </row>
    <row r="363" spans="2:2" x14ac:dyDescent="0.3">
      <c r="B363">
        <v>5</v>
      </c>
    </row>
    <row r="364" spans="2:2" x14ac:dyDescent="0.3">
      <c r="B364">
        <v>6</v>
      </c>
    </row>
    <row r="365" spans="2:2" x14ac:dyDescent="0.3">
      <c r="B365">
        <v>4</v>
      </c>
    </row>
    <row r="366" spans="2:2" x14ac:dyDescent="0.3">
      <c r="B366">
        <v>4</v>
      </c>
    </row>
    <row r="367" spans="2:2" x14ac:dyDescent="0.3">
      <c r="B367">
        <v>3</v>
      </c>
    </row>
    <row r="368" spans="2:2" x14ac:dyDescent="0.3">
      <c r="B368">
        <v>3</v>
      </c>
    </row>
    <row r="369" spans="2:2" x14ac:dyDescent="0.3">
      <c r="B369">
        <v>9</v>
      </c>
    </row>
    <row r="370" spans="2:2" x14ac:dyDescent="0.3">
      <c r="B370">
        <v>4</v>
      </c>
    </row>
    <row r="371" spans="2:2" x14ac:dyDescent="0.3">
      <c r="B371">
        <v>6</v>
      </c>
    </row>
    <row r="372" spans="2:2" x14ac:dyDescent="0.3">
      <c r="B372">
        <v>5</v>
      </c>
    </row>
    <row r="373" spans="2:2" x14ac:dyDescent="0.3">
      <c r="B373">
        <v>3</v>
      </c>
    </row>
    <row r="374" spans="2:2" x14ac:dyDescent="0.3">
      <c r="B374">
        <v>5</v>
      </c>
    </row>
    <row r="375" spans="2:2" x14ac:dyDescent="0.3">
      <c r="B375">
        <v>4</v>
      </c>
    </row>
    <row r="376" spans="2:2" x14ac:dyDescent="0.3">
      <c r="B376">
        <v>5</v>
      </c>
    </row>
    <row r="377" spans="2:2" x14ac:dyDescent="0.3">
      <c r="B377">
        <v>5</v>
      </c>
    </row>
    <row r="378" spans="2:2" x14ac:dyDescent="0.3">
      <c r="B378">
        <v>5</v>
      </c>
    </row>
    <row r="379" spans="2:2" x14ac:dyDescent="0.3">
      <c r="B379">
        <v>3</v>
      </c>
    </row>
    <row r="380" spans="2:2" x14ac:dyDescent="0.3">
      <c r="B380">
        <v>5</v>
      </c>
    </row>
    <row r="381" spans="2:2" x14ac:dyDescent="0.3">
      <c r="B381">
        <v>4</v>
      </c>
    </row>
    <row r="382" spans="2:2" x14ac:dyDescent="0.3">
      <c r="B382">
        <v>3</v>
      </c>
    </row>
    <row r="383" spans="2:2" x14ac:dyDescent="0.3">
      <c r="B383">
        <v>4</v>
      </c>
    </row>
    <row r="384" spans="2:2" x14ac:dyDescent="0.3">
      <c r="B384">
        <v>4</v>
      </c>
    </row>
    <row r="385" spans="2:2" x14ac:dyDescent="0.3">
      <c r="B385">
        <v>3</v>
      </c>
    </row>
    <row r="386" spans="2:2" x14ac:dyDescent="0.3">
      <c r="B386">
        <v>5</v>
      </c>
    </row>
    <row r="387" spans="2:2" x14ac:dyDescent="0.3">
      <c r="B387">
        <v>7</v>
      </c>
    </row>
    <row r="388" spans="2:2" x14ac:dyDescent="0.3">
      <c r="B388">
        <v>5</v>
      </c>
    </row>
    <row r="389" spans="2:2" x14ac:dyDescent="0.3">
      <c r="B389">
        <v>3</v>
      </c>
    </row>
    <row r="390" spans="2:2" x14ac:dyDescent="0.3">
      <c r="B390">
        <v>4</v>
      </c>
    </row>
    <row r="391" spans="2:2" x14ac:dyDescent="0.3">
      <c r="B391">
        <v>5</v>
      </c>
    </row>
    <row r="392" spans="2:2" x14ac:dyDescent="0.3">
      <c r="B392">
        <v>5</v>
      </c>
    </row>
    <row r="393" spans="2:2" x14ac:dyDescent="0.3">
      <c r="B393">
        <v>4</v>
      </c>
    </row>
    <row r="394" spans="2:2" x14ac:dyDescent="0.3">
      <c r="B394">
        <v>4</v>
      </c>
    </row>
    <row r="395" spans="2:2" x14ac:dyDescent="0.3">
      <c r="B395">
        <v>5</v>
      </c>
    </row>
    <row r="396" spans="2:2" x14ac:dyDescent="0.3">
      <c r="B396">
        <v>7</v>
      </c>
    </row>
    <row r="397" spans="2:2" x14ac:dyDescent="0.3">
      <c r="B397">
        <v>3</v>
      </c>
    </row>
    <row r="398" spans="2:2" x14ac:dyDescent="0.3">
      <c r="B398">
        <v>8</v>
      </c>
    </row>
    <row r="399" spans="2:2" x14ac:dyDescent="0.3">
      <c r="B399">
        <v>8</v>
      </c>
    </row>
    <row r="400" spans="2:2" x14ac:dyDescent="0.3">
      <c r="B400">
        <v>6</v>
      </c>
    </row>
    <row r="401" spans="2:2" x14ac:dyDescent="0.3">
      <c r="B401">
        <v>9</v>
      </c>
    </row>
    <row r="402" spans="2:2" x14ac:dyDescent="0.3">
      <c r="B402">
        <v>6</v>
      </c>
    </row>
    <row r="403" spans="2:2" x14ac:dyDescent="0.3">
      <c r="B403">
        <v>5</v>
      </c>
    </row>
    <row r="404" spans="2:2" x14ac:dyDescent="0.3">
      <c r="B404">
        <v>3</v>
      </c>
    </row>
    <row r="405" spans="2:2" x14ac:dyDescent="0.3">
      <c r="B405">
        <v>7</v>
      </c>
    </row>
    <row r="406" spans="2:2" x14ac:dyDescent="0.3">
      <c r="B406">
        <v>4</v>
      </c>
    </row>
    <row r="407" spans="2:2" x14ac:dyDescent="0.3">
      <c r="B407">
        <v>4</v>
      </c>
    </row>
    <row r="408" spans="2:2" x14ac:dyDescent="0.3">
      <c r="B408">
        <v>5</v>
      </c>
    </row>
    <row r="409" spans="2:2" x14ac:dyDescent="0.3">
      <c r="B409">
        <v>3</v>
      </c>
    </row>
    <row r="410" spans="2:2" x14ac:dyDescent="0.3">
      <c r="B410">
        <v>9</v>
      </c>
    </row>
    <row r="411" spans="2:2" x14ac:dyDescent="0.3">
      <c r="B411">
        <v>4</v>
      </c>
    </row>
    <row r="412" spans="2:2" x14ac:dyDescent="0.3">
      <c r="B412">
        <v>6</v>
      </c>
    </row>
    <row r="413" spans="2:2" x14ac:dyDescent="0.3">
      <c r="B413">
        <v>6</v>
      </c>
    </row>
    <row r="414" spans="2:2" x14ac:dyDescent="0.3">
      <c r="B414">
        <v>9</v>
      </c>
    </row>
    <row r="415" spans="2:2" x14ac:dyDescent="0.3">
      <c r="B415">
        <v>4</v>
      </c>
    </row>
    <row r="416" spans="2:2" x14ac:dyDescent="0.3">
      <c r="B416">
        <v>9</v>
      </c>
    </row>
    <row r="417" spans="2:2" x14ac:dyDescent="0.3">
      <c r="B417">
        <v>3</v>
      </c>
    </row>
    <row r="418" spans="2:2" x14ac:dyDescent="0.3">
      <c r="B418">
        <v>7</v>
      </c>
    </row>
    <row r="419" spans="2:2" x14ac:dyDescent="0.3">
      <c r="B419">
        <v>4</v>
      </c>
    </row>
    <row r="420" spans="2:2" x14ac:dyDescent="0.3">
      <c r="B420">
        <v>4</v>
      </c>
    </row>
    <row r="421" spans="2:2" x14ac:dyDescent="0.3">
      <c r="B421">
        <v>5</v>
      </c>
    </row>
    <row r="422" spans="2:2" x14ac:dyDescent="0.3">
      <c r="B422">
        <v>5</v>
      </c>
    </row>
    <row r="423" spans="2:2" x14ac:dyDescent="0.3">
      <c r="B423">
        <v>5</v>
      </c>
    </row>
    <row r="424" spans="2:2" x14ac:dyDescent="0.3">
      <c r="B424">
        <v>5</v>
      </c>
    </row>
    <row r="425" spans="2:2" x14ac:dyDescent="0.3">
      <c r="B425">
        <v>6</v>
      </c>
    </row>
    <row r="426" spans="2:2" x14ac:dyDescent="0.3">
      <c r="B426">
        <v>5</v>
      </c>
    </row>
    <row r="427" spans="2:2" x14ac:dyDescent="0.3">
      <c r="B427">
        <v>4</v>
      </c>
    </row>
    <row r="428" spans="2:2" x14ac:dyDescent="0.3">
      <c r="B428">
        <v>4</v>
      </c>
    </row>
    <row r="429" spans="2:2" x14ac:dyDescent="0.3">
      <c r="B429">
        <v>6</v>
      </c>
    </row>
    <row r="430" spans="2:2" x14ac:dyDescent="0.3">
      <c r="B430">
        <v>4</v>
      </c>
    </row>
    <row r="431" spans="2:2" x14ac:dyDescent="0.3">
      <c r="B431">
        <v>5</v>
      </c>
    </row>
    <row r="432" spans="2:2" x14ac:dyDescent="0.3">
      <c r="B432">
        <v>7</v>
      </c>
    </row>
    <row r="433" spans="2:2" x14ac:dyDescent="0.3">
      <c r="B433">
        <v>6</v>
      </c>
    </row>
    <row r="434" spans="2:2" x14ac:dyDescent="0.3">
      <c r="B434">
        <v>4</v>
      </c>
    </row>
    <row r="435" spans="2:2" x14ac:dyDescent="0.3">
      <c r="B435">
        <v>6</v>
      </c>
    </row>
    <row r="436" spans="2:2" x14ac:dyDescent="0.3">
      <c r="B436">
        <v>3</v>
      </c>
    </row>
    <row r="437" spans="2:2" x14ac:dyDescent="0.3">
      <c r="B437">
        <v>4</v>
      </c>
    </row>
    <row r="438" spans="2:2" x14ac:dyDescent="0.3">
      <c r="B438">
        <v>5</v>
      </c>
    </row>
    <row r="439" spans="2:2" x14ac:dyDescent="0.3">
      <c r="B439">
        <v>6</v>
      </c>
    </row>
    <row r="440" spans="2:2" x14ac:dyDescent="0.3">
      <c r="B440">
        <v>6</v>
      </c>
    </row>
    <row r="441" spans="2:2" x14ac:dyDescent="0.3">
      <c r="B441">
        <v>5</v>
      </c>
    </row>
    <row r="442" spans="2:2" x14ac:dyDescent="0.3">
      <c r="B442">
        <v>4</v>
      </c>
    </row>
    <row r="443" spans="2:2" x14ac:dyDescent="0.3">
      <c r="B443">
        <v>5</v>
      </c>
    </row>
    <row r="444" spans="2:2" x14ac:dyDescent="0.3">
      <c r="B444">
        <v>3</v>
      </c>
    </row>
    <row r="445" spans="2:2" x14ac:dyDescent="0.3">
      <c r="B445">
        <v>4</v>
      </c>
    </row>
    <row r="446" spans="2:2" x14ac:dyDescent="0.3">
      <c r="B446">
        <v>3</v>
      </c>
    </row>
    <row r="447" spans="2:2" x14ac:dyDescent="0.3">
      <c r="B447">
        <v>2</v>
      </c>
    </row>
    <row r="448" spans="2:2" x14ac:dyDescent="0.3">
      <c r="B448">
        <v>2</v>
      </c>
    </row>
    <row r="449" spans="2:2" x14ac:dyDescent="0.3">
      <c r="B449">
        <v>3</v>
      </c>
    </row>
    <row r="450" spans="2:2" x14ac:dyDescent="0.3">
      <c r="B450">
        <v>7</v>
      </c>
    </row>
    <row r="451" spans="2:2" x14ac:dyDescent="0.3">
      <c r="B451">
        <v>7</v>
      </c>
    </row>
    <row r="452" spans="2:2" x14ac:dyDescent="0.3">
      <c r="B452">
        <v>5</v>
      </c>
    </row>
    <row r="453" spans="2:2" x14ac:dyDescent="0.3">
      <c r="B453">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EF1E9-8A3B-4EA5-A6E2-6F59528FB69C}">
  <dimension ref="B3:J30"/>
  <sheetViews>
    <sheetView topLeftCell="A13" workbookViewId="0">
      <selection activeCell="B19" sqref="B19:C27"/>
    </sheetView>
  </sheetViews>
  <sheetFormatPr defaultRowHeight="14.4" x14ac:dyDescent="0.3"/>
  <cols>
    <col min="2" max="2" width="26.33203125" customWidth="1"/>
    <col min="3" max="3" width="11.44140625" customWidth="1"/>
  </cols>
  <sheetData>
    <row r="3" spans="2:10" ht="24" customHeight="1" x14ac:dyDescent="0.3">
      <c r="B3" s="4" t="s">
        <v>48</v>
      </c>
      <c r="C3" s="4"/>
      <c r="D3" s="4"/>
      <c r="E3" s="4"/>
      <c r="F3" s="4"/>
      <c r="G3" s="4"/>
      <c r="H3" s="4"/>
      <c r="I3" s="4"/>
      <c r="J3" s="4"/>
    </row>
    <row r="4" spans="2:10" ht="15" thickBot="1" x14ac:dyDescent="0.35">
      <c r="B4" s="4"/>
      <c r="C4" s="4"/>
      <c r="D4" s="4"/>
      <c r="E4" s="4"/>
      <c r="F4" s="4"/>
      <c r="G4" s="4"/>
      <c r="H4" s="4"/>
      <c r="I4" s="4"/>
      <c r="J4" s="4"/>
    </row>
    <row r="5" spans="2:10" x14ac:dyDescent="0.3">
      <c r="B5" s="22" t="s">
        <v>49</v>
      </c>
      <c r="C5" s="19"/>
      <c r="D5" s="4"/>
      <c r="E5" s="4"/>
      <c r="F5" s="4"/>
      <c r="G5" s="4"/>
      <c r="H5" s="4"/>
      <c r="I5" s="4"/>
      <c r="J5" s="4"/>
    </row>
    <row r="6" spans="2:10" x14ac:dyDescent="0.3">
      <c r="B6" s="4" t="s">
        <v>50</v>
      </c>
      <c r="C6" s="4">
        <v>0.49864752240697024</v>
      </c>
      <c r="D6" s="4"/>
      <c r="E6" s="4"/>
      <c r="F6" s="4"/>
      <c r="G6" s="4"/>
      <c r="H6" s="4"/>
      <c r="I6" s="4"/>
      <c r="J6" s="4"/>
    </row>
    <row r="7" spans="2:10" x14ac:dyDescent="0.3">
      <c r="B7" s="4" t="s">
        <v>51</v>
      </c>
      <c r="C7" s="4">
        <v>0.24864935160260987</v>
      </c>
      <c r="D7" s="4"/>
      <c r="E7" s="4"/>
      <c r="F7" s="4"/>
      <c r="G7" s="4"/>
      <c r="H7" s="4"/>
      <c r="I7" s="4"/>
      <c r="J7" s="4"/>
    </row>
    <row r="8" spans="2:10" ht="28.8" x14ac:dyDescent="0.3">
      <c r="B8" s="4" t="s">
        <v>52</v>
      </c>
      <c r="C8" s="4">
        <v>0.23971799174053093</v>
      </c>
      <c r="D8" s="4"/>
      <c r="E8" s="4"/>
      <c r="F8" s="4"/>
      <c r="G8" s="4"/>
      <c r="H8" s="4"/>
      <c r="I8" s="4"/>
      <c r="J8" s="4"/>
    </row>
    <row r="9" spans="2:10" ht="28.8" x14ac:dyDescent="0.3">
      <c r="B9" s="4" t="s">
        <v>13</v>
      </c>
      <c r="C9" s="4">
        <v>0.41252925144257424</v>
      </c>
      <c r="D9" s="4"/>
      <c r="E9" s="4"/>
      <c r="F9" s="4"/>
      <c r="G9" s="4"/>
      <c r="H9" s="4"/>
      <c r="I9" s="4"/>
      <c r="J9" s="4"/>
    </row>
    <row r="10" spans="2:10" ht="29.4" thickBot="1" x14ac:dyDescent="0.35">
      <c r="B10" s="20" t="s">
        <v>36</v>
      </c>
      <c r="C10" s="20">
        <v>682</v>
      </c>
      <c r="D10" s="4"/>
      <c r="E10" s="4"/>
      <c r="F10" s="4"/>
      <c r="G10" s="4"/>
      <c r="H10" s="4"/>
      <c r="I10" s="4"/>
      <c r="J10" s="4"/>
    </row>
    <row r="11" spans="2:10" x14ac:dyDescent="0.3">
      <c r="B11" s="4"/>
      <c r="C11" s="4"/>
      <c r="D11" s="4"/>
      <c r="E11" s="4"/>
      <c r="F11" s="4"/>
      <c r="G11" s="4"/>
      <c r="H11" s="4"/>
      <c r="I11" s="4"/>
      <c r="J11" s="4"/>
    </row>
    <row r="12" spans="2:10" ht="15" thickBot="1" x14ac:dyDescent="0.35">
      <c r="B12" s="4" t="s">
        <v>53</v>
      </c>
      <c r="C12" s="4"/>
      <c r="D12" s="4"/>
      <c r="E12" s="4"/>
      <c r="F12" s="4"/>
      <c r="G12" s="4"/>
      <c r="H12" s="4"/>
      <c r="I12" s="4"/>
      <c r="J12" s="4"/>
    </row>
    <row r="13" spans="2:10" ht="28.8" x14ac:dyDescent="0.3">
      <c r="B13" s="21"/>
      <c r="C13" s="21" t="s">
        <v>38</v>
      </c>
      <c r="D13" s="21" t="s">
        <v>58</v>
      </c>
      <c r="E13" s="21" t="s">
        <v>59</v>
      </c>
      <c r="F13" s="21" t="s">
        <v>60</v>
      </c>
      <c r="G13" s="21" t="s">
        <v>61</v>
      </c>
      <c r="H13" s="4"/>
      <c r="I13" s="4"/>
      <c r="J13" s="4"/>
    </row>
    <row r="14" spans="2:10" ht="28.8" x14ac:dyDescent="0.3">
      <c r="B14" s="4" t="s">
        <v>54</v>
      </c>
      <c r="C14" s="4">
        <v>8</v>
      </c>
      <c r="D14" s="4">
        <v>37.902619637254091</v>
      </c>
      <c r="E14" s="4">
        <v>4.7378274546567614</v>
      </c>
      <c r="F14" s="4">
        <v>27.840032810494364</v>
      </c>
      <c r="G14" s="4">
        <v>1.6984612741849569E-37</v>
      </c>
      <c r="H14" s="4"/>
      <c r="I14" s="4"/>
      <c r="J14" s="4"/>
    </row>
    <row r="15" spans="2:10" x14ac:dyDescent="0.3">
      <c r="B15" s="4" t="s">
        <v>55</v>
      </c>
      <c r="C15" s="4">
        <v>673</v>
      </c>
      <c r="D15" s="4">
        <v>114.53139795805363</v>
      </c>
      <c r="E15" s="4">
        <v>0.17018038329577062</v>
      </c>
      <c r="F15" s="4"/>
      <c r="G15" s="4"/>
      <c r="H15" s="4"/>
      <c r="I15" s="4"/>
      <c r="J15" s="4"/>
    </row>
    <row r="16" spans="2:10" ht="15" thickBot="1" x14ac:dyDescent="0.35">
      <c r="B16" s="20" t="s">
        <v>56</v>
      </c>
      <c r="C16" s="20">
        <v>681</v>
      </c>
      <c r="D16" s="20">
        <v>152.43401759530772</v>
      </c>
      <c r="E16" s="20"/>
      <c r="F16" s="20"/>
      <c r="G16" s="20"/>
      <c r="H16" s="4"/>
      <c r="I16" s="4"/>
      <c r="J16" s="4"/>
    </row>
    <row r="17" spans="2:10" ht="15" thickBot="1" x14ac:dyDescent="0.35">
      <c r="B17" s="4"/>
      <c r="C17" s="4"/>
      <c r="D17" s="4"/>
      <c r="E17" s="4"/>
      <c r="F17" s="4"/>
      <c r="G17" s="4"/>
      <c r="H17" s="4"/>
      <c r="I17" s="4"/>
      <c r="J17" s="4"/>
    </row>
    <row r="18" spans="2:10" ht="28.8" x14ac:dyDescent="0.3">
      <c r="B18" s="21"/>
      <c r="C18" s="23" t="s">
        <v>62</v>
      </c>
      <c r="D18" s="21" t="s">
        <v>13</v>
      </c>
      <c r="E18" s="21" t="s">
        <v>39</v>
      </c>
      <c r="F18" s="21" t="s">
        <v>63</v>
      </c>
      <c r="G18" s="21" t="s">
        <v>64</v>
      </c>
      <c r="H18" s="21" t="s">
        <v>65</v>
      </c>
      <c r="I18" s="21" t="s">
        <v>66</v>
      </c>
      <c r="J18" s="21" t="s">
        <v>67</v>
      </c>
    </row>
    <row r="19" spans="2:10" x14ac:dyDescent="0.3">
      <c r="B19" s="4" t="s">
        <v>57</v>
      </c>
      <c r="C19" s="24">
        <v>-0.45533310368285063</v>
      </c>
      <c r="D19" s="4">
        <v>0.17757378402098656</v>
      </c>
      <c r="E19" s="4">
        <v>-2.5641910273705553</v>
      </c>
      <c r="F19" s="4">
        <v>1.0557564094380571E-2</v>
      </c>
      <c r="G19" s="4">
        <v>-0.80399836643317557</v>
      </c>
      <c r="H19" s="4">
        <v>-0.10666784093252574</v>
      </c>
      <c r="I19" s="4">
        <v>-0.80399836643317557</v>
      </c>
      <c r="J19" s="4">
        <v>-0.10666784093252574</v>
      </c>
    </row>
    <row r="20" spans="2:10" x14ac:dyDescent="0.3">
      <c r="B20" s="4" t="s">
        <v>2</v>
      </c>
      <c r="C20" s="24">
        <v>1.3626236430466133E-2</v>
      </c>
      <c r="D20" s="4">
        <v>5.5221078835546696E-3</v>
      </c>
      <c r="E20" s="4">
        <v>2.4675788155183063</v>
      </c>
      <c r="F20" s="4">
        <v>1.3850752426735131E-2</v>
      </c>
      <c r="G20" s="4">
        <v>2.7836044126245824E-3</v>
      </c>
      <c r="H20" s="4">
        <v>2.4468868448307684E-2</v>
      </c>
      <c r="I20" s="4">
        <v>2.7836044126245824E-3</v>
      </c>
      <c r="J20" s="4">
        <v>2.4468868448307684E-2</v>
      </c>
    </row>
    <row r="21" spans="2:10" ht="28.8" x14ac:dyDescent="0.3">
      <c r="B21" s="4" t="s">
        <v>5</v>
      </c>
      <c r="C21" s="24">
        <v>3.0611964333549103E-7</v>
      </c>
      <c r="D21" s="4">
        <v>5.2709653081790923E-8</v>
      </c>
      <c r="E21" s="4">
        <v>5.8076580936792981</v>
      </c>
      <c r="F21" s="4">
        <v>9.7695859337848847E-9</v>
      </c>
      <c r="G21" s="4">
        <v>2.0262449543083695E-7</v>
      </c>
      <c r="H21" s="4">
        <v>4.0961479124014511E-7</v>
      </c>
      <c r="I21" s="4">
        <v>2.0262449543083695E-7</v>
      </c>
      <c r="J21" s="4">
        <v>4.0961479124014511E-7</v>
      </c>
    </row>
    <row r="22" spans="2:10" ht="28.8" x14ac:dyDescent="0.3">
      <c r="B22" s="4" t="s">
        <v>6</v>
      </c>
      <c r="C22" s="24">
        <v>1.7265692360090297E-2</v>
      </c>
      <c r="D22" s="4">
        <v>9.7744900589465059E-3</v>
      </c>
      <c r="E22" s="4">
        <v>1.7664033884087036</v>
      </c>
      <c r="F22" s="4">
        <v>7.7781470606770958E-2</v>
      </c>
      <c r="G22" s="4">
        <v>-1.9264714125206694E-3</v>
      </c>
      <c r="H22" s="4">
        <v>3.6457856132701263E-2</v>
      </c>
      <c r="I22" s="4">
        <v>-1.9264714125206694E-3</v>
      </c>
      <c r="J22" s="4">
        <v>3.6457856132701263E-2</v>
      </c>
    </row>
    <row r="23" spans="2:10" ht="57.6" x14ac:dyDescent="0.3">
      <c r="B23" s="4" t="s">
        <v>3</v>
      </c>
      <c r="C23" s="24">
        <v>-2.0820017708251422E-2</v>
      </c>
      <c r="D23" s="4">
        <v>3.9188552906487865E-2</v>
      </c>
      <c r="E23" s="4">
        <v>-0.53127804330852346</v>
      </c>
      <c r="F23" s="4">
        <v>0.59540141258556134</v>
      </c>
      <c r="G23" s="4">
        <v>-9.7766551067763302E-2</v>
      </c>
      <c r="H23" s="4">
        <v>5.612651565126045E-2</v>
      </c>
      <c r="I23" s="4">
        <v>-9.7766551067763302E-2</v>
      </c>
      <c r="J23" s="4">
        <v>5.612651565126045E-2</v>
      </c>
    </row>
    <row r="24" spans="2:10" ht="28.8" x14ac:dyDescent="0.3">
      <c r="B24" s="4" t="s">
        <v>4</v>
      </c>
      <c r="C24" s="24">
        <v>-8.0840859488655034E-2</v>
      </c>
      <c r="D24" s="4">
        <v>4.5373458840549892E-2</v>
      </c>
      <c r="E24" s="4">
        <v>-1.7816772526146545</v>
      </c>
      <c r="F24" s="4">
        <v>7.5252716267381697E-2</v>
      </c>
      <c r="G24" s="4">
        <v>-0.16993142562009297</v>
      </c>
      <c r="H24" s="4">
        <v>8.2497066427829058E-3</v>
      </c>
      <c r="I24" s="4">
        <v>-0.16993142562009297</v>
      </c>
      <c r="J24" s="4">
        <v>8.2497066427829058E-3</v>
      </c>
    </row>
    <row r="25" spans="2:10" x14ac:dyDescent="0.3">
      <c r="B25" s="4" t="s">
        <v>7</v>
      </c>
      <c r="C25" s="24">
        <v>1.484700267461945E-2</v>
      </c>
      <c r="D25" s="4">
        <v>3.5555738961000234E-2</v>
      </c>
      <c r="E25" s="4">
        <v>0.41756979628252344</v>
      </c>
      <c r="F25" s="4">
        <v>0.6763948642808455</v>
      </c>
      <c r="G25" s="4">
        <v>-5.4966518141347197E-2</v>
      </c>
      <c r="H25" s="4">
        <v>8.4660523490586101E-2</v>
      </c>
      <c r="I25" s="4">
        <v>-5.4966518141347197E-2</v>
      </c>
      <c r="J25" s="4">
        <v>8.4660523490586101E-2</v>
      </c>
    </row>
    <row r="26" spans="2:10" x14ac:dyDescent="0.3">
      <c r="B26" s="4" t="s">
        <v>8</v>
      </c>
      <c r="C26" s="24">
        <v>9.1186919209729586E-2</v>
      </c>
      <c r="D26" s="4">
        <v>4.1582626006161381E-2</v>
      </c>
      <c r="E26" s="4">
        <v>2.1929091057457084</v>
      </c>
      <c r="F26" s="4">
        <v>2.8655446595875829E-2</v>
      </c>
      <c r="G26" s="4">
        <v>9.5396349429638649E-3</v>
      </c>
      <c r="H26" s="4">
        <v>0.17283420347649531</v>
      </c>
      <c r="I26" s="4">
        <v>9.5396349429638649E-3</v>
      </c>
      <c r="J26" s="4">
        <v>0.17283420347649531</v>
      </c>
    </row>
    <row r="27" spans="2:10" ht="15" thickBot="1" x14ac:dyDescent="0.35">
      <c r="B27" s="20" t="s">
        <v>9</v>
      </c>
      <c r="C27" s="25">
        <v>0.35039175122820987</v>
      </c>
      <c r="D27" s="20">
        <v>4.603542450073949E-2</v>
      </c>
      <c r="E27" s="20">
        <v>7.611350498627016</v>
      </c>
      <c r="F27" s="20">
        <v>9.1919085868649902E-14</v>
      </c>
      <c r="G27" s="20">
        <v>0.26000141873703486</v>
      </c>
      <c r="H27" s="20">
        <v>0.44078208371938488</v>
      </c>
      <c r="I27" s="20">
        <v>0.26000141873703486</v>
      </c>
      <c r="J27" s="20">
        <v>0.44078208371938488</v>
      </c>
    </row>
    <row r="28" spans="2:10" x14ac:dyDescent="0.3">
      <c r="B28" s="4"/>
      <c r="C28" s="4"/>
      <c r="D28" s="4"/>
      <c r="E28" s="4"/>
      <c r="F28" s="4"/>
      <c r="G28" s="4"/>
      <c r="H28" s="4"/>
      <c r="I28" s="4"/>
      <c r="J28" s="4"/>
    </row>
    <row r="29" spans="2:10" x14ac:dyDescent="0.3">
      <c r="B29" s="4"/>
      <c r="C29" s="4"/>
      <c r="D29" s="4"/>
      <c r="E29" s="4"/>
      <c r="F29" s="4"/>
      <c r="G29" s="4"/>
      <c r="H29" s="4"/>
      <c r="I29" s="4"/>
      <c r="J29" s="4"/>
    </row>
    <row r="30" spans="2:10" x14ac:dyDescent="0.3">
      <c r="B30" s="4"/>
      <c r="C30" s="4"/>
      <c r="D30" s="4"/>
      <c r="E30" s="4"/>
      <c r="F30" s="4"/>
      <c r="G30" s="4"/>
      <c r="H30" s="4"/>
      <c r="I30" s="4"/>
      <c r="J30"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564F-2B6D-4CFF-856B-809427C71770}">
  <dimension ref="A1:J683"/>
  <sheetViews>
    <sheetView topLeftCell="A641" workbookViewId="0">
      <selection sqref="A1:J683"/>
    </sheetView>
  </sheetViews>
  <sheetFormatPr defaultRowHeight="14.4" x14ac:dyDescent="0.3"/>
  <cols>
    <col min="1" max="1" width="6.21875" bestFit="1" customWidth="1"/>
    <col min="2" max="2" width="15.109375" bestFit="1" customWidth="1"/>
    <col min="3" max="3" width="16.77734375" bestFit="1" customWidth="1"/>
    <col min="4" max="4" width="25.88671875" bestFit="1" customWidth="1"/>
    <col min="5" max="5" width="16.109375" bestFit="1" customWidth="1"/>
    <col min="6" max="6" width="17.21875" bestFit="1" customWidth="1"/>
    <col min="7" max="7" width="14.77734375" bestFit="1" customWidth="1"/>
    <col min="8" max="8" width="20.6640625" bestFit="1" customWidth="1"/>
    <col min="9" max="9" width="16.44140625" bestFit="1" customWidth="1"/>
    <col min="10" max="10" width="11.88671875" bestFit="1" customWidth="1"/>
  </cols>
  <sheetData>
    <row r="1" spans="1:10" x14ac:dyDescent="0.3">
      <c r="A1" t="s">
        <v>2</v>
      </c>
      <c r="B1" t="s">
        <v>5</v>
      </c>
      <c r="C1" t="s">
        <v>6</v>
      </c>
      <c r="D1" t="s">
        <v>3</v>
      </c>
      <c r="E1" t="s">
        <v>4</v>
      </c>
      <c r="F1" t="s">
        <v>7</v>
      </c>
      <c r="G1" t="s">
        <v>8</v>
      </c>
      <c r="H1" t="s">
        <v>9</v>
      </c>
      <c r="I1" t="s">
        <v>10</v>
      </c>
      <c r="J1" t="s">
        <v>11</v>
      </c>
    </row>
    <row r="2" spans="1:10" x14ac:dyDescent="0.3">
      <c r="A2">
        <v>31</v>
      </c>
      <c r="B2">
        <v>400000</v>
      </c>
      <c r="C2">
        <v>6</v>
      </c>
      <c r="D2">
        <v>1</v>
      </c>
      <c r="E2">
        <v>1</v>
      </c>
      <c r="F2">
        <v>1</v>
      </c>
      <c r="G2">
        <v>0</v>
      </c>
      <c r="H2">
        <v>0</v>
      </c>
      <c r="I2">
        <v>0</v>
      </c>
      <c r="J2" t="s">
        <v>0</v>
      </c>
    </row>
    <row r="3" spans="1:10" x14ac:dyDescent="0.3">
      <c r="A3">
        <v>31</v>
      </c>
      <c r="B3">
        <v>1250000</v>
      </c>
      <c r="C3">
        <v>7</v>
      </c>
      <c r="D3">
        <v>0</v>
      </c>
      <c r="E3">
        <v>1</v>
      </c>
      <c r="F3">
        <v>0</v>
      </c>
      <c r="G3">
        <v>0</v>
      </c>
      <c r="H3">
        <v>0</v>
      </c>
      <c r="I3">
        <v>0</v>
      </c>
      <c r="J3" t="s">
        <v>0</v>
      </c>
    </row>
    <row r="4" spans="1:10" hidden="1" x14ac:dyDescent="0.3">
      <c r="A4">
        <v>34</v>
      </c>
      <c r="B4">
        <v>500000</v>
      </c>
      <c r="C4">
        <v>4</v>
      </c>
      <c r="D4">
        <v>0</v>
      </c>
      <c r="E4">
        <v>1</v>
      </c>
      <c r="F4">
        <v>1</v>
      </c>
      <c r="G4">
        <v>0</v>
      </c>
      <c r="H4">
        <v>0</v>
      </c>
      <c r="I4">
        <v>1</v>
      </c>
      <c r="J4" t="s">
        <v>0</v>
      </c>
    </row>
    <row r="5" spans="1:10" x14ac:dyDescent="0.3">
      <c r="A5">
        <v>28</v>
      </c>
      <c r="B5">
        <v>700000</v>
      </c>
      <c r="C5">
        <v>3</v>
      </c>
      <c r="D5">
        <v>0</v>
      </c>
      <c r="E5">
        <v>1</v>
      </c>
      <c r="F5">
        <v>1</v>
      </c>
      <c r="G5">
        <v>0</v>
      </c>
      <c r="H5">
        <v>0</v>
      </c>
      <c r="I5">
        <v>0</v>
      </c>
      <c r="J5" t="s">
        <v>0</v>
      </c>
    </row>
    <row r="6" spans="1:10" x14ac:dyDescent="0.3">
      <c r="A6">
        <v>28</v>
      </c>
      <c r="B6">
        <v>700000</v>
      </c>
      <c r="C6">
        <v>8</v>
      </c>
      <c r="D6">
        <v>0</v>
      </c>
      <c r="E6">
        <v>1</v>
      </c>
      <c r="F6">
        <v>1</v>
      </c>
      <c r="G6">
        <v>1</v>
      </c>
      <c r="H6">
        <v>0</v>
      </c>
      <c r="I6">
        <v>0</v>
      </c>
      <c r="J6" t="s">
        <v>0</v>
      </c>
    </row>
    <row r="7" spans="1:10" x14ac:dyDescent="0.3">
      <c r="A7">
        <v>25</v>
      </c>
      <c r="B7">
        <v>1150000</v>
      </c>
      <c r="C7">
        <v>4</v>
      </c>
      <c r="D7">
        <v>0</v>
      </c>
      <c r="E7">
        <v>0</v>
      </c>
      <c r="F7">
        <v>0</v>
      </c>
      <c r="G7">
        <v>0</v>
      </c>
      <c r="H7">
        <v>0</v>
      </c>
      <c r="I7">
        <v>0</v>
      </c>
      <c r="J7" t="s">
        <v>0</v>
      </c>
    </row>
    <row r="8" spans="1:10" x14ac:dyDescent="0.3">
      <c r="A8">
        <v>31</v>
      </c>
      <c r="B8">
        <v>1300000</v>
      </c>
      <c r="C8">
        <v>4</v>
      </c>
      <c r="D8">
        <v>1</v>
      </c>
      <c r="E8">
        <v>1</v>
      </c>
      <c r="F8">
        <v>0</v>
      </c>
      <c r="G8">
        <v>0</v>
      </c>
      <c r="H8">
        <v>0</v>
      </c>
      <c r="I8">
        <v>0</v>
      </c>
      <c r="J8" t="s">
        <v>0</v>
      </c>
    </row>
    <row r="9" spans="1:10" hidden="1" x14ac:dyDescent="0.3">
      <c r="A9">
        <v>31</v>
      </c>
      <c r="B9">
        <v>1350000</v>
      </c>
      <c r="C9">
        <v>3</v>
      </c>
      <c r="D9">
        <v>0</v>
      </c>
      <c r="E9">
        <v>1</v>
      </c>
      <c r="F9">
        <v>0</v>
      </c>
      <c r="G9">
        <v>1</v>
      </c>
      <c r="H9">
        <v>1</v>
      </c>
      <c r="I9">
        <v>1</v>
      </c>
      <c r="J9" t="s">
        <v>0</v>
      </c>
    </row>
    <row r="10" spans="1:10" hidden="1" x14ac:dyDescent="0.3">
      <c r="A10">
        <v>28</v>
      </c>
      <c r="B10">
        <v>1450000</v>
      </c>
      <c r="C10">
        <v>6</v>
      </c>
      <c r="D10">
        <v>0</v>
      </c>
      <c r="E10">
        <v>1</v>
      </c>
      <c r="F10">
        <v>1</v>
      </c>
      <c r="G10">
        <v>1</v>
      </c>
      <c r="H10">
        <v>1</v>
      </c>
      <c r="I10">
        <v>1</v>
      </c>
      <c r="J10" t="s">
        <v>0</v>
      </c>
    </row>
    <row r="11" spans="1:10" x14ac:dyDescent="0.3">
      <c r="A11">
        <v>33</v>
      </c>
      <c r="B11">
        <v>800000</v>
      </c>
      <c r="C11">
        <v>3</v>
      </c>
      <c r="D11">
        <v>1</v>
      </c>
      <c r="E11">
        <v>1</v>
      </c>
      <c r="F11">
        <v>0</v>
      </c>
      <c r="G11">
        <v>1</v>
      </c>
      <c r="H11">
        <v>0</v>
      </c>
      <c r="I11">
        <v>0</v>
      </c>
      <c r="J11" t="s">
        <v>0</v>
      </c>
    </row>
    <row r="12" spans="1:10" x14ac:dyDescent="0.3">
      <c r="A12">
        <v>31</v>
      </c>
      <c r="B12">
        <v>400000</v>
      </c>
      <c r="C12">
        <v>9</v>
      </c>
      <c r="D12">
        <v>1</v>
      </c>
      <c r="E12">
        <v>1</v>
      </c>
      <c r="F12">
        <v>1</v>
      </c>
      <c r="G12">
        <v>0</v>
      </c>
      <c r="H12">
        <v>0</v>
      </c>
      <c r="I12">
        <v>0</v>
      </c>
      <c r="J12" t="s">
        <v>0</v>
      </c>
    </row>
    <row r="13" spans="1:10" hidden="1" x14ac:dyDescent="0.3">
      <c r="A13">
        <v>26</v>
      </c>
      <c r="B13">
        <v>1400000</v>
      </c>
      <c r="C13">
        <v>5</v>
      </c>
      <c r="D13">
        <v>0</v>
      </c>
      <c r="E13">
        <v>1</v>
      </c>
      <c r="F13">
        <v>0</v>
      </c>
      <c r="G13">
        <v>1</v>
      </c>
      <c r="H13">
        <v>1</v>
      </c>
      <c r="I13">
        <v>1</v>
      </c>
      <c r="J13" t="s">
        <v>0</v>
      </c>
    </row>
    <row r="14" spans="1:10" hidden="1" x14ac:dyDescent="0.3">
      <c r="A14">
        <v>32</v>
      </c>
      <c r="B14">
        <v>850000</v>
      </c>
      <c r="C14">
        <v>6</v>
      </c>
      <c r="D14">
        <v>1</v>
      </c>
      <c r="E14">
        <v>1</v>
      </c>
      <c r="F14">
        <v>0</v>
      </c>
      <c r="G14">
        <v>0</v>
      </c>
      <c r="H14">
        <v>0</v>
      </c>
      <c r="I14">
        <v>1</v>
      </c>
      <c r="J14" t="s">
        <v>0</v>
      </c>
    </row>
    <row r="15" spans="1:10" hidden="1" x14ac:dyDescent="0.3">
      <c r="A15">
        <v>31</v>
      </c>
      <c r="B15">
        <v>1500000</v>
      </c>
      <c r="C15">
        <v>6</v>
      </c>
      <c r="D15">
        <v>1</v>
      </c>
      <c r="E15">
        <v>1</v>
      </c>
      <c r="F15">
        <v>0</v>
      </c>
      <c r="G15">
        <v>1</v>
      </c>
      <c r="H15">
        <v>1</v>
      </c>
      <c r="I15">
        <v>1</v>
      </c>
      <c r="J15" t="s">
        <v>0</v>
      </c>
    </row>
    <row r="16" spans="1:10" x14ac:dyDescent="0.3">
      <c r="A16">
        <v>31</v>
      </c>
      <c r="B16">
        <v>400000</v>
      </c>
      <c r="C16">
        <v>3</v>
      </c>
      <c r="D16">
        <v>1</v>
      </c>
      <c r="E16">
        <v>1</v>
      </c>
      <c r="F16">
        <v>0</v>
      </c>
      <c r="G16">
        <v>0</v>
      </c>
      <c r="H16">
        <v>0</v>
      </c>
      <c r="I16">
        <v>0</v>
      </c>
      <c r="J16" t="s">
        <v>0</v>
      </c>
    </row>
    <row r="17" spans="1:10" x14ac:dyDescent="0.3">
      <c r="A17">
        <v>34</v>
      </c>
      <c r="B17">
        <v>700000</v>
      </c>
      <c r="C17">
        <v>7</v>
      </c>
      <c r="D17">
        <v>0</v>
      </c>
      <c r="E17">
        <v>1</v>
      </c>
      <c r="F17">
        <v>0</v>
      </c>
      <c r="G17">
        <v>0</v>
      </c>
      <c r="H17">
        <v>0</v>
      </c>
      <c r="I17">
        <v>0</v>
      </c>
      <c r="J17" t="s">
        <v>0</v>
      </c>
    </row>
    <row r="18" spans="1:10" x14ac:dyDescent="0.3">
      <c r="A18">
        <v>28</v>
      </c>
      <c r="B18">
        <v>1150000</v>
      </c>
      <c r="C18">
        <v>4</v>
      </c>
      <c r="D18">
        <v>0</v>
      </c>
      <c r="E18">
        <v>1</v>
      </c>
      <c r="F18">
        <v>1</v>
      </c>
      <c r="G18">
        <v>0</v>
      </c>
      <c r="H18">
        <v>0</v>
      </c>
      <c r="I18">
        <v>0</v>
      </c>
      <c r="J18" t="s">
        <v>0</v>
      </c>
    </row>
    <row r="19" spans="1:10" hidden="1" x14ac:dyDescent="0.3">
      <c r="A19">
        <v>28</v>
      </c>
      <c r="B19">
        <v>800000</v>
      </c>
      <c r="C19">
        <v>7</v>
      </c>
      <c r="D19">
        <v>0</v>
      </c>
      <c r="E19">
        <v>1</v>
      </c>
      <c r="F19">
        <v>0</v>
      </c>
      <c r="G19">
        <v>0</v>
      </c>
      <c r="H19">
        <v>0</v>
      </c>
      <c r="I19">
        <v>1</v>
      </c>
      <c r="J19" t="s">
        <v>0</v>
      </c>
    </row>
    <row r="20" spans="1:10" hidden="1" x14ac:dyDescent="0.3">
      <c r="A20">
        <v>29</v>
      </c>
      <c r="B20">
        <v>1050000</v>
      </c>
      <c r="C20">
        <v>5</v>
      </c>
      <c r="D20">
        <v>0</v>
      </c>
      <c r="E20">
        <v>1</v>
      </c>
      <c r="F20">
        <v>1</v>
      </c>
      <c r="G20">
        <v>0</v>
      </c>
      <c r="H20">
        <v>0</v>
      </c>
      <c r="I20">
        <v>1</v>
      </c>
      <c r="J20" t="s">
        <v>0</v>
      </c>
    </row>
    <row r="21" spans="1:10" hidden="1" x14ac:dyDescent="0.3">
      <c r="A21">
        <v>34</v>
      </c>
      <c r="B21">
        <v>1500000</v>
      </c>
      <c r="C21">
        <v>2</v>
      </c>
      <c r="D21">
        <v>0</v>
      </c>
      <c r="E21">
        <v>1</v>
      </c>
      <c r="F21">
        <v>0</v>
      </c>
      <c r="G21">
        <v>1</v>
      </c>
      <c r="H21">
        <v>1</v>
      </c>
      <c r="I21">
        <v>1</v>
      </c>
      <c r="J21" t="s">
        <v>0</v>
      </c>
    </row>
    <row r="22" spans="1:10" x14ac:dyDescent="0.3">
      <c r="A22">
        <v>28</v>
      </c>
      <c r="B22">
        <v>1150000</v>
      </c>
      <c r="C22">
        <v>6</v>
      </c>
      <c r="D22">
        <v>0</v>
      </c>
      <c r="E22">
        <v>1</v>
      </c>
      <c r="F22">
        <v>0</v>
      </c>
      <c r="G22">
        <v>1</v>
      </c>
      <c r="H22">
        <v>0</v>
      </c>
      <c r="I22">
        <v>0</v>
      </c>
      <c r="J22" t="s">
        <v>0</v>
      </c>
    </row>
    <row r="23" spans="1:10" hidden="1" x14ac:dyDescent="0.3">
      <c r="A23">
        <v>29</v>
      </c>
      <c r="B23">
        <v>350000</v>
      </c>
      <c r="C23">
        <v>3</v>
      </c>
      <c r="D23">
        <v>0</v>
      </c>
      <c r="E23">
        <v>1</v>
      </c>
      <c r="F23">
        <v>0</v>
      </c>
      <c r="G23">
        <v>0</v>
      </c>
      <c r="H23">
        <v>0</v>
      </c>
      <c r="I23">
        <v>1</v>
      </c>
      <c r="J23" t="s">
        <v>0</v>
      </c>
    </row>
    <row r="24" spans="1:10" x14ac:dyDescent="0.3">
      <c r="A24">
        <v>31</v>
      </c>
      <c r="B24">
        <v>1100000</v>
      </c>
      <c r="C24">
        <v>4</v>
      </c>
      <c r="D24">
        <v>0</v>
      </c>
      <c r="E24">
        <v>1</v>
      </c>
      <c r="F24">
        <v>0</v>
      </c>
      <c r="G24">
        <v>0</v>
      </c>
      <c r="H24">
        <v>0</v>
      </c>
      <c r="I24">
        <v>0</v>
      </c>
      <c r="J24" t="s">
        <v>0</v>
      </c>
    </row>
    <row r="25" spans="1:10" hidden="1" x14ac:dyDescent="0.3">
      <c r="A25">
        <v>28</v>
      </c>
      <c r="B25">
        <v>600000</v>
      </c>
      <c r="C25">
        <v>9</v>
      </c>
      <c r="D25">
        <v>1</v>
      </c>
      <c r="E25">
        <v>1</v>
      </c>
      <c r="F25">
        <v>0</v>
      </c>
      <c r="G25">
        <v>0</v>
      </c>
      <c r="H25">
        <v>0</v>
      </c>
      <c r="I25">
        <v>1</v>
      </c>
      <c r="J25" t="s">
        <v>0</v>
      </c>
    </row>
    <row r="26" spans="1:10" x14ac:dyDescent="0.3">
      <c r="A26">
        <v>31</v>
      </c>
      <c r="B26">
        <v>1500000</v>
      </c>
      <c r="C26">
        <v>7</v>
      </c>
      <c r="D26">
        <v>1</v>
      </c>
      <c r="E26">
        <v>1</v>
      </c>
      <c r="F26">
        <v>0</v>
      </c>
      <c r="G26">
        <v>1</v>
      </c>
      <c r="H26">
        <v>1</v>
      </c>
      <c r="I26">
        <v>0</v>
      </c>
      <c r="J26" t="s">
        <v>0</v>
      </c>
    </row>
    <row r="27" spans="1:10" x14ac:dyDescent="0.3">
      <c r="A27">
        <v>35</v>
      </c>
      <c r="B27">
        <v>800000</v>
      </c>
      <c r="C27">
        <v>4</v>
      </c>
      <c r="D27">
        <v>0</v>
      </c>
      <c r="E27">
        <v>0</v>
      </c>
      <c r="F27">
        <v>0</v>
      </c>
      <c r="G27">
        <v>0</v>
      </c>
      <c r="H27">
        <v>1</v>
      </c>
      <c r="I27">
        <v>0</v>
      </c>
      <c r="J27" t="s">
        <v>0</v>
      </c>
    </row>
    <row r="28" spans="1:10" hidden="1" x14ac:dyDescent="0.3">
      <c r="A28">
        <v>34</v>
      </c>
      <c r="B28">
        <v>1300000</v>
      </c>
      <c r="C28">
        <v>6</v>
      </c>
      <c r="D28">
        <v>0</v>
      </c>
      <c r="E28">
        <v>0</v>
      </c>
      <c r="F28">
        <v>0</v>
      </c>
      <c r="G28">
        <v>1</v>
      </c>
      <c r="H28">
        <v>0</v>
      </c>
      <c r="I28">
        <v>1</v>
      </c>
      <c r="J28" t="s">
        <v>0</v>
      </c>
    </row>
    <row r="29" spans="1:10" x14ac:dyDescent="0.3">
      <c r="A29">
        <v>28</v>
      </c>
      <c r="B29">
        <v>1250000</v>
      </c>
      <c r="C29">
        <v>2</v>
      </c>
      <c r="D29">
        <v>0</v>
      </c>
      <c r="E29">
        <v>1</v>
      </c>
      <c r="F29">
        <v>0</v>
      </c>
      <c r="G29">
        <v>1</v>
      </c>
      <c r="H29">
        <v>0</v>
      </c>
      <c r="I29">
        <v>0</v>
      </c>
      <c r="J29" t="s">
        <v>0</v>
      </c>
    </row>
    <row r="30" spans="1:10" x14ac:dyDescent="0.3">
      <c r="A30">
        <v>26</v>
      </c>
      <c r="B30">
        <v>600000</v>
      </c>
      <c r="C30">
        <v>4</v>
      </c>
      <c r="D30">
        <v>0</v>
      </c>
      <c r="E30">
        <v>1</v>
      </c>
      <c r="F30">
        <v>0</v>
      </c>
      <c r="G30">
        <v>1</v>
      </c>
      <c r="H30">
        <v>0</v>
      </c>
      <c r="I30">
        <v>0</v>
      </c>
      <c r="J30" t="s">
        <v>0</v>
      </c>
    </row>
    <row r="31" spans="1:10" x14ac:dyDescent="0.3">
      <c r="A31">
        <v>31</v>
      </c>
      <c r="B31">
        <v>900000</v>
      </c>
      <c r="C31">
        <v>3</v>
      </c>
      <c r="D31">
        <v>0</v>
      </c>
      <c r="E31">
        <v>1</v>
      </c>
      <c r="F31">
        <v>0</v>
      </c>
      <c r="G31">
        <v>0</v>
      </c>
      <c r="H31">
        <v>0</v>
      </c>
      <c r="I31">
        <v>0</v>
      </c>
      <c r="J31" t="s">
        <v>0</v>
      </c>
    </row>
    <row r="32" spans="1:10" x14ac:dyDescent="0.3">
      <c r="A32">
        <v>30</v>
      </c>
      <c r="B32">
        <v>550000</v>
      </c>
      <c r="C32">
        <v>6</v>
      </c>
      <c r="D32">
        <v>0</v>
      </c>
      <c r="E32">
        <v>0</v>
      </c>
      <c r="F32">
        <v>0</v>
      </c>
      <c r="G32">
        <v>1</v>
      </c>
      <c r="H32">
        <v>1</v>
      </c>
      <c r="I32">
        <v>0</v>
      </c>
      <c r="J32" t="s">
        <v>0</v>
      </c>
    </row>
    <row r="33" spans="1:10" x14ac:dyDescent="0.3">
      <c r="A33">
        <v>31</v>
      </c>
      <c r="B33">
        <v>300000</v>
      </c>
      <c r="C33">
        <v>4</v>
      </c>
      <c r="D33">
        <v>1</v>
      </c>
      <c r="E33">
        <v>0</v>
      </c>
      <c r="F33">
        <v>0</v>
      </c>
      <c r="G33">
        <v>0</v>
      </c>
      <c r="H33">
        <v>0</v>
      </c>
      <c r="I33">
        <v>0</v>
      </c>
      <c r="J33" t="s">
        <v>0</v>
      </c>
    </row>
    <row r="34" spans="1:10" hidden="1" x14ac:dyDescent="0.3">
      <c r="A34">
        <v>25</v>
      </c>
      <c r="B34">
        <v>750000</v>
      </c>
      <c r="C34">
        <v>4</v>
      </c>
      <c r="D34">
        <v>1</v>
      </c>
      <c r="E34">
        <v>1</v>
      </c>
      <c r="F34">
        <v>0</v>
      </c>
      <c r="G34">
        <v>0</v>
      </c>
      <c r="H34">
        <v>0</v>
      </c>
      <c r="I34">
        <v>1</v>
      </c>
      <c r="J34" t="s">
        <v>0</v>
      </c>
    </row>
    <row r="35" spans="1:10" x14ac:dyDescent="0.3">
      <c r="A35">
        <v>32</v>
      </c>
      <c r="B35">
        <v>850000</v>
      </c>
      <c r="C35">
        <v>3</v>
      </c>
      <c r="D35">
        <v>1</v>
      </c>
      <c r="E35">
        <v>1</v>
      </c>
      <c r="F35">
        <v>0</v>
      </c>
      <c r="G35">
        <v>0</v>
      </c>
      <c r="H35">
        <v>0</v>
      </c>
      <c r="I35">
        <v>0</v>
      </c>
      <c r="J35" t="s">
        <v>0</v>
      </c>
    </row>
    <row r="36" spans="1:10" hidden="1" x14ac:dyDescent="0.3">
      <c r="A36">
        <v>28</v>
      </c>
      <c r="B36">
        <v>800000</v>
      </c>
      <c r="C36">
        <v>9</v>
      </c>
      <c r="D36">
        <v>0</v>
      </c>
      <c r="E36">
        <v>1</v>
      </c>
      <c r="F36">
        <v>0</v>
      </c>
      <c r="G36">
        <v>0</v>
      </c>
      <c r="H36">
        <v>0</v>
      </c>
      <c r="I36">
        <v>1</v>
      </c>
      <c r="J36" t="s">
        <v>0</v>
      </c>
    </row>
    <row r="37" spans="1:10" x14ac:dyDescent="0.3">
      <c r="A37">
        <v>33</v>
      </c>
      <c r="B37">
        <v>1400000</v>
      </c>
      <c r="C37">
        <v>4</v>
      </c>
      <c r="D37">
        <v>0</v>
      </c>
      <c r="E37">
        <v>1</v>
      </c>
      <c r="F37">
        <v>0</v>
      </c>
      <c r="G37">
        <v>1</v>
      </c>
      <c r="H37">
        <v>1</v>
      </c>
      <c r="I37">
        <v>0</v>
      </c>
      <c r="J37" t="s">
        <v>0</v>
      </c>
    </row>
    <row r="38" spans="1:10" x14ac:dyDescent="0.3">
      <c r="A38">
        <v>31</v>
      </c>
      <c r="B38">
        <v>300000</v>
      </c>
      <c r="C38">
        <v>9</v>
      </c>
      <c r="D38">
        <v>1</v>
      </c>
      <c r="E38">
        <v>0</v>
      </c>
      <c r="F38">
        <v>1</v>
      </c>
      <c r="G38">
        <v>0</v>
      </c>
      <c r="H38">
        <v>0</v>
      </c>
      <c r="I38">
        <v>0</v>
      </c>
      <c r="J38" t="s">
        <v>0</v>
      </c>
    </row>
    <row r="39" spans="1:10" x14ac:dyDescent="0.3">
      <c r="A39">
        <v>34</v>
      </c>
      <c r="B39">
        <v>700000</v>
      </c>
      <c r="C39">
        <v>4</v>
      </c>
      <c r="D39">
        <v>0</v>
      </c>
      <c r="E39">
        <v>1</v>
      </c>
      <c r="F39">
        <v>0</v>
      </c>
      <c r="G39">
        <v>0</v>
      </c>
      <c r="H39">
        <v>0</v>
      </c>
      <c r="I39">
        <v>0</v>
      </c>
      <c r="J39" t="s">
        <v>0</v>
      </c>
    </row>
    <row r="40" spans="1:10" x14ac:dyDescent="0.3">
      <c r="A40">
        <v>34</v>
      </c>
      <c r="B40">
        <v>1100000</v>
      </c>
      <c r="C40">
        <v>2</v>
      </c>
      <c r="D40">
        <v>1</v>
      </c>
      <c r="E40">
        <v>1</v>
      </c>
      <c r="F40">
        <v>0</v>
      </c>
      <c r="G40">
        <v>0</v>
      </c>
      <c r="H40">
        <v>0</v>
      </c>
      <c r="I40">
        <v>0</v>
      </c>
      <c r="J40" t="s">
        <v>0</v>
      </c>
    </row>
    <row r="41" spans="1:10" hidden="1" x14ac:dyDescent="0.3">
      <c r="A41">
        <v>33</v>
      </c>
      <c r="B41">
        <v>1500000</v>
      </c>
      <c r="C41">
        <v>5</v>
      </c>
      <c r="D41">
        <v>0</v>
      </c>
      <c r="E41">
        <v>1</v>
      </c>
      <c r="F41">
        <v>1</v>
      </c>
      <c r="G41">
        <v>1</v>
      </c>
      <c r="H41">
        <v>1</v>
      </c>
      <c r="I41">
        <v>1</v>
      </c>
      <c r="J41" t="s">
        <v>0</v>
      </c>
    </row>
    <row r="42" spans="1:10" hidden="1" x14ac:dyDescent="0.3">
      <c r="A42">
        <v>25</v>
      </c>
      <c r="B42">
        <v>1400000</v>
      </c>
      <c r="C42">
        <v>3</v>
      </c>
      <c r="D42">
        <v>0</v>
      </c>
      <c r="E42">
        <v>1</v>
      </c>
      <c r="F42">
        <v>1</v>
      </c>
      <c r="G42">
        <v>1</v>
      </c>
      <c r="H42">
        <v>1</v>
      </c>
      <c r="I42">
        <v>1</v>
      </c>
      <c r="J42" t="s">
        <v>0</v>
      </c>
    </row>
    <row r="43" spans="1:10" x14ac:dyDescent="0.3">
      <c r="A43">
        <v>33</v>
      </c>
      <c r="B43">
        <v>550000</v>
      </c>
      <c r="C43">
        <v>5</v>
      </c>
      <c r="D43">
        <v>0</v>
      </c>
      <c r="E43">
        <v>1</v>
      </c>
      <c r="F43">
        <v>0</v>
      </c>
      <c r="G43">
        <v>0</v>
      </c>
      <c r="H43">
        <v>0</v>
      </c>
      <c r="I43">
        <v>0</v>
      </c>
      <c r="J43" t="s">
        <v>0</v>
      </c>
    </row>
    <row r="44" spans="1:10" hidden="1" x14ac:dyDescent="0.3">
      <c r="A44">
        <v>26</v>
      </c>
      <c r="B44">
        <v>1500000</v>
      </c>
      <c r="C44">
        <v>2</v>
      </c>
      <c r="D44">
        <v>0</v>
      </c>
      <c r="E44">
        <v>1</v>
      </c>
      <c r="F44">
        <v>1</v>
      </c>
      <c r="G44">
        <v>1</v>
      </c>
      <c r="H44">
        <v>1</v>
      </c>
      <c r="I44">
        <v>1</v>
      </c>
      <c r="J44" t="s">
        <v>0</v>
      </c>
    </row>
    <row r="45" spans="1:10" hidden="1" x14ac:dyDescent="0.3">
      <c r="A45">
        <v>28</v>
      </c>
      <c r="B45">
        <v>1200000</v>
      </c>
      <c r="C45">
        <v>4</v>
      </c>
      <c r="D45">
        <v>0</v>
      </c>
      <c r="E45">
        <v>1</v>
      </c>
      <c r="F45">
        <v>0</v>
      </c>
      <c r="G45">
        <v>1</v>
      </c>
      <c r="H45">
        <v>0</v>
      </c>
      <c r="I45">
        <v>1</v>
      </c>
      <c r="J45" t="s">
        <v>0</v>
      </c>
    </row>
    <row r="46" spans="1:10" hidden="1" x14ac:dyDescent="0.3">
      <c r="A46">
        <v>25</v>
      </c>
      <c r="B46">
        <v>1400000</v>
      </c>
      <c r="C46">
        <v>7</v>
      </c>
      <c r="D46">
        <v>0</v>
      </c>
      <c r="E46">
        <v>1</v>
      </c>
      <c r="F46">
        <v>0</v>
      </c>
      <c r="G46">
        <v>0</v>
      </c>
      <c r="H46">
        <v>1</v>
      </c>
      <c r="I46">
        <v>1</v>
      </c>
      <c r="J46" t="s">
        <v>0</v>
      </c>
    </row>
    <row r="47" spans="1:10" hidden="1" x14ac:dyDescent="0.3">
      <c r="A47">
        <v>34</v>
      </c>
      <c r="B47">
        <v>1400000</v>
      </c>
      <c r="C47">
        <v>5</v>
      </c>
      <c r="D47">
        <v>0</v>
      </c>
      <c r="E47">
        <v>0</v>
      </c>
      <c r="F47">
        <v>1</v>
      </c>
      <c r="G47">
        <v>0</v>
      </c>
      <c r="H47">
        <v>1</v>
      </c>
      <c r="I47">
        <v>1</v>
      </c>
      <c r="J47" t="s">
        <v>0</v>
      </c>
    </row>
    <row r="48" spans="1:10" hidden="1" x14ac:dyDescent="0.3">
      <c r="A48">
        <v>25</v>
      </c>
      <c r="B48">
        <v>1400000</v>
      </c>
      <c r="C48">
        <v>4</v>
      </c>
      <c r="D48">
        <v>0</v>
      </c>
      <c r="E48">
        <v>1</v>
      </c>
      <c r="F48">
        <v>0</v>
      </c>
      <c r="G48">
        <v>0</v>
      </c>
      <c r="H48">
        <v>1</v>
      </c>
      <c r="I48">
        <v>1</v>
      </c>
      <c r="J48" t="s">
        <v>0</v>
      </c>
    </row>
    <row r="49" spans="1:10" x14ac:dyDescent="0.3">
      <c r="A49">
        <v>35</v>
      </c>
      <c r="B49">
        <v>1100000</v>
      </c>
      <c r="C49">
        <v>5</v>
      </c>
      <c r="D49">
        <v>1</v>
      </c>
      <c r="E49">
        <v>1</v>
      </c>
      <c r="F49">
        <v>0</v>
      </c>
      <c r="G49">
        <v>0</v>
      </c>
      <c r="H49">
        <v>0</v>
      </c>
      <c r="I49">
        <v>0</v>
      </c>
      <c r="J49" t="s">
        <v>0</v>
      </c>
    </row>
    <row r="50" spans="1:10" x14ac:dyDescent="0.3">
      <c r="A50">
        <v>28</v>
      </c>
      <c r="B50">
        <v>600000</v>
      </c>
      <c r="C50">
        <v>3</v>
      </c>
      <c r="D50">
        <v>0</v>
      </c>
      <c r="E50">
        <v>1</v>
      </c>
      <c r="F50">
        <v>0</v>
      </c>
      <c r="G50">
        <v>0</v>
      </c>
      <c r="H50">
        <v>0</v>
      </c>
      <c r="I50">
        <v>0</v>
      </c>
      <c r="J50" t="s">
        <v>0</v>
      </c>
    </row>
    <row r="51" spans="1:10" hidden="1" x14ac:dyDescent="0.3">
      <c r="A51">
        <v>31</v>
      </c>
      <c r="B51">
        <v>1350000</v>
      </c>
      <c r="C51">
        <v>3</v>
      </c>
      <c r="D51">
        <v>0</v>
      </c>
      <c r="E51">
        <v>1</v>
      </c>
      <c r="F51">
        <v>0</v>
      </c>
      <c r="G51">
        <v>0</v>
      </c>
      <c r="H51">
        <v>1</v>
      </c>
      <c r="I51">
        <v>1</v>
      </c>
      <c r="J51" t="s">
        <v>0</v>
      </c>
    </row>
    <row r="52" spans="1:10" x14ac:dyDescent="0.3">
      <c r="A52">
        <v>31</v>
      </c>
      <c r="B52">
        <v>1250000</v>
      </c>
      <c r="C52">
        <v>3</v>
      </c>
      <c r="D52">
        <v>0</v>
      </c>
      <c r="E52">
        <v>1</v>
      </c>
      <c r="F52">
        <v>1</v>
      </c>
      <c r="G52">
        <v>0</v>
      </c>
      <c r="H52">
        <v>0</v>
      </c>
      <c r="I52">
        <v>0</v>
      </c>
      <c r="J52" t="s">
        <v>0</v>
      </c>
    </row>
    <row r="53" spans="1:10" x14ac:dyDescent="0.3">
      <c r="A53">
        <v>29</v>
      </c>
      <c r="B53">
        <v>1050000</v>
      </c>
      <c r="C53">
        <v>3</v>
      </c>
      <c r="D53">
        <v>0</v>
      </c>
      <c r="E53">
        <v>1</v>
      </c>
      <c r="F53">
        <v>0</v>
      </c>
      <c r="G53">
        <v>0</v>
      </c>
      <c r="H53">
        <v>0</v>
      </c>
      <c r="I53">
        <v>0</v>
      </c>
      <c r="J53" t="s">
        <v>0</v>
      </c>
    </row>
    <row r="54" spans="1:10" x14ac:dyDescent="0.3">
      <c r="A54">
        <v>31</v>
      </c>
      <c r="B54">
        <v>1250000</v>
      </c>
      <c r="C54">
        <v>4</v>
      </c>
      <c r="D54">
        <v>0</v>
      </c>
      <c r="E54">
        <v>1</v>
      </c>
      <c r="F54">
        <v>0</v>
      </c>
      <c r="G54">
        <v>0</v>
      </c>
      <c r="H54">
        <v>1</v>
      </c>
      <c r="I54">
        <v>0</v>
      </c>
      <c r="J54" t="s">
        <v>0</v>
      </c>
    </row>
    <row r="55" spans="1:10" x14ac:dyDescent="0.3">
      <c r="A55">
        <v>28</v>
      </c>
      <c r="B55">
        <v>300000</v>
      </c>
      <c r="C55">
        <v>2</v>
      </c>
      <c r="D55">
        <v>1</v>
      </c>
      <c r="E55">
        <v>1</v>
      </c>
      <c r="F55">
        <v>0</v>
      </c>
      <c r="G55">
        <v>0</v>
      </c>
      <c r="H55">
        <v>0</v>
      </c>
      <c r="I55">
        <v>0</v>
      </c>
      <c r="J55" t="s">
        <v>0</v>
      </c>
    </row>
    <row r="56" spans="1:10" x14ac:dyDescent="0.3">
      <c r="A56">
        <v>29</v>
      </c>
      <c r="B56">
        <v>1200000</v>
      </c>
      <c r="C56">
        <v>7</v>
      </c>
      <c r="D56">
        <v>0</v>
      </c>
      <c r="E56">
        <v>1</v>
      </c>
      <c r="F56">
        <v>0</v>
      </c>
      <c r="G56">
        <v>0</v>
      </c>
      <c r="H56">
        <v>0</v>
      </c>
      <c r="I56">
        <v>0</v>
      </c>
      <c r="J56" t="s">
        <v>0</v>
      </c>
    </row>
    <row r="57" spans="1:10" x14ac:dyDescent="0.3">
      <c r="A57">
        <v>26</v>
      </c>
      <c r="B57">
        <v>750000</v>
      </c>
      <c r="C57">
        <v>5</v>
      </c>
      <c r="D57">
        <v>0</v>
      </c>
      <c r="E57">
        <v>1</v>
      </c>
      <c r="F57">
        <v>0</v>
      </c>
      <c r="G57">
        <v>0</v>
      </c>
      <c r="H57">
        <v>0</v>
      </c>
      <c r="I57">
        <v>0</v>
      </c>
      <c r="J57" t="s">
        <v>0</v>
      </c>
    </row>
    <row r="58" spans="1:10" hidden="1" x14ac:dyDescent="0.3">
      <c r="A58">
        <v>28</v>
      </c>
      <c r="B58">
        <v>550000</v>
      </c>
      <c r="C58">
        <v>3</v>
      </c>
      <c r="D58">
        <v>0</v>
      </c>
      <c r="E58">
        <v>1</v>
      </c>
      <c r="F58">
        <v>0</v>
      </c>
      <c r="G58">
        <v>0</v>
      </c>
      <c r="H58">
        <v>0</v>
      </c>
      <c r="I58">
        <v>1</v>
      </c>
      <c r="J58" t="s">
        <v>0</v>
      </c>
    </row>
    <row r="59" spans="1:10" hidden="1" x14ac:dyDescent="0.3">
      <c r="A59">
        <v>34</v>
      </c>
      <c r="B59">
        <v>1000000</v>
      </c>
      <c r="C59">
        <v>6</v>
      </c>
      <c r="D59">
        <v>0</v>
      </c>
      <c r="E59">
        <v>1</v>
      </c>
      <c r="F59">
        <v>0</v>
      </c>
      <c r="G59">
        <v>0</v>
      </c>
      <c r="H59">
        <v>0</v>
      </c>
      <c r="I59">
        <v>1</v>
      </c>
      <c r="J59" t="s">
        <v>0</v>
      </c>
    </row>
    <row r="60" spans="1:10" hidden="1" x14ac:dyDescent="0.3">
      <c r="A60">
        <v>33</v>
      </c>
      <c r="B60">
        <v>1400000</v>
      </c>
      <c r="C60">
        <v>6</v>
      </c>
      <c r="D60">
        <v>0</v>
      </c>
      <c r="E60">
        <v>1</v>
      </c>
      <c r="F60">
        <v>0</v>
      </c>
      <c r="G60">
        <v>1</v>
      </c>
      <c r="H60">
        <v>1</v>
      </c>
      <c r="I60">
        <v>1</v>
      </c>
      <c r="J60" t="s">
        <v>0</v>
      </c>
    </row>
    <row r="61" spans="1:10" hidden="1" x14ac:dyDescent="0.3">
      <c r="A61">
        <v>33</v>
      </c>
      <c r="B61">
        <v>1400000</v>
      </c>
      <c r="C61">
        <v>9</v>
      </c>
      <c r="D61">
        <v>0</v>
      </c>
      <c r="E61">
        <v>1</v>
      </c>
      <c r="F61">
        <v>0</v>
      </c>
      <c r="G61">
        <v>1</v>
      </c>
      <c r="H61">
        <v>1</v>
      </c>
      <c r="I61">
        <v>1</v>
      </c>
      <c r="J61" t="s">
        <v>0</v>
      </c>
    </row>
    <row r="62" spans="1:10" x14ac:dyDescent="0.3">
      <c r="A62">
        <v>31</v>
      </c>
      <c r="B62">
        <v>1250000</v>
      </c>
      <c r="C62">
        <v>4</v>
      </c>
      <c r="D62">
        <v>0</v>
      </c>
      <c r="E62">
        <v>1</v>
      </c>
      <c r="F62">
        <v>0</v>
      </c>
      <c r="G62">
        <v>1</v>
      </c>
      <c r="H62">
        <v>1</v>
      </c>
      <c r="I62">
        <v>0</v>
      </c>
      <c r="J62" t="s">
        <v>0</v>
      </c>
    </row>
    <row r="63" spans="1:10" hidden="1" x14ac:dyDescent="0.3">
      <c r="A63">
        <v>32</v>
      </c>
      <c r="B63">
        <v>800000</v>
      </c>
      <c r="C63">
        <v>3</v>
      </c>
      <c r="D63">
        <v>1</v>
      </c>
      <c r="E63">
        <v>1</v>
      </c>
      <c r="F63">
        <v>0</v>
      </c>
      <c r="G63">
        <v>1</v>
      </c>
      <c r="H63">
        <v>0</v>
      </c>
      <c r="I63">
        <v>1</v>
      </c>
      <c r="J63" t="s">
        <v>0</v>
      </c>
    </row>
    <row r="64" spans="1:10" x14ac:dyDescent="0.3">
      <c r="A64">
        <v>28</v>
      </c>
      <c r="B64">
        <v>800000</v>
      </c>
      <c r="C64">
        <v>4</v>
      </c>
      <c r="D64">
        <v>0</v>
      </c>
      <c r="E64">
        <v>1</v>
      </c>
      <c r="F64">
        <v>0</v>
      </c>
      <c r="G64">
        <v>1</v>
      </c>
      <c r="H64">
        <v>0</v>
      </c>
      <c r="I64">
        <v>0</v>
      </c>
      <c r="J64" t="s">
        <v>0</v>
      </c>
    </row>
    <row r="65" spans="1:10" x14ac:dyDescent="0.3">
      <c r="A65">
        <v>27</v>
      </c>
      <c r="B65">
        <v>500000</v>
      </c>
      <c r="C65">
        <v>2</v>
      </c>
      <c r="D65">
        <v>1</v>
      </c>
      <c r="E65">
        <v>1</v>
      </c>
      <c r="F65">
        <v>0</v>
      </c>
      <c r="G65">
        <v>0</v>
      </c>
      <c r="H65">
        <v>0</v>
      </c>
      <c r="I65">
        <v>0</v>
      </c>
      <c r="J65" t="s">
        <v>0</v>
      </c>
    </row>
    <row r="66" spans="1:10" hidden="1" x14ac:dyDescent="0.3">
      <c r="A66">
        <v>30</v>
      </c>
      <c r="B66">
        <v>1450000</v>
      </c>
      <c r="C66">
        <v>9</v>
      </c>
      <c r="D66">
        <v>0</v>
      </c>
      <c r="E66">
        <v>0</v>
      </c>
      <c r="F66">
        <v>0</v>
      </c>
      <c r="G66">
        <v>1</v>
      </c>
      <c r="H66">
        <v>1</v>
      </c>
      <c r="I66">
        <v>1</v>
      </c>
      <c r="J66" t="s">
        <v>0</v>
      </c>
    </row>
    <row r="67" spans="1:10" x14ac:dyDescent="0.3">
      <c r="A67">
        <v>26</v>
      </c>
      <c r="B67">
        <v>600000</v>
      </c>
      <c r="C67">
        <v>5</v>
      </c>
      <c r="D67">
        <v>0</v>
      </c>
      <c r="E67">
        <v>1</v>
      </c>
      <c r="F67">
        <v>1</v>
      </c>
      <c r="G67">
        <v>0</v>
      </c>
      <c r="H67">
        <v>0</v>
      </c>
      <c r="I67">
        <v>0</v>
      </c>
      <c r="J67" t="s">
        <v>0</v>
      </c>
    </row>
    <row r="68" spans="1:10" x14ac:dyDescent="0.3">
      <c r="A68">
        <v>30</v>
      </c>
      <c r="B68">
        <v>800000</v>
      </c>
      <c r="C68">
        <v>6</v>
      </c>
      <c r="D68">
        <v>0</v>
      </c>
      <c r="E68">
        <v>0</v>
      </c>
      <c r="F68">
        <v>0</v>
      </c>
      <c r="G68">
        <v>1</v>
      </c>
      <c r="H68">
        <v>0</v>
      </c>
      <c r="I68">
        <v>0</v>
      </c>
      <c r="J68" t="s">
        <v>0</v>
      </c>
    </row>
    <row r="69" spans="1:10" hidden="1" x14ac:dyDescent="0.3">
      <c r="A69">
        <v>34</v>
      </c>
      <c r="B69">
        <v>1500000</v>
      </c>
      <c r="C69">
        <v>3</v>
      </c>
      <c r="D69">
        <v>0</v>
      </c>
      <c r="E69">
        <v>1</v>
      </c>
      <c r="F69">
        <v>0</v>
      </c>
      <c r="G69">
        <v>1</v>
      </c>
      <c r="H69">
        <v>1</v>
      </c>
      <c r="I69">
        <v>1</v>
      </c>
      <c r="J69" t="s">
        <v>0</v>
      </c>
    </row>
    <row r="70" spans="1:10" x14ac:dyDescent="0.3">
      <c r="A70">
        <v>29</v>
      </c>
      <c r="B70">
        <v>350000</v>
      </c>
      <c r="C70">
        <v>4</v>
      </c>
      <c r="D70">
        <v>0</v>
      </c>
      <c r="E70">
        <v>1</v>
      </c>
      <c r="F70">
        <v>0</v>
      </c>
      <c r="G70">
        <v>0</v>
      </c>
      <c r="H70">
        <v>0</v>
      </c>
      <c r="I70">
        <v>0</v>
      </c>
      <c r="J70" t="s">
        <v>0</v>
      </c>
    </row>
    <row r="71" spans="1:10" x14ac:dyDescent="0.3">
      <c r="A71">
        <v>31</v>
      </c>
      <c r="B71">
        <v>300000</v>
      </c>
      <c r="C71">
        <v>4</v>
      </c>
      <c r="D71">
        <v>1</v>
      </c>
      <c r="E71">
        <v>0</v>
      </c>
      <c r="F71">
        <v>0</v>
      </c>
      <c r="G71">
        <v>0</v>
      </c>
      <c r="H71">
        <v>0</v>
      </c>
      <c r="I71">
        <v>0</v>
      </c>
      <c r="J71" t="s">
        <v>0</v>
      </c>
    </row>
    <row r="72" spans="1:10" x14ac:dyDescent="0.3">
      <c r="A72">
        <v>34</v>
      </c>
      <c r="B72">
        <v>1300000</v>
      </c>
      <c r="C72">
        <v>4</v>
      </c>
      <c r="D72">
        <v>1</v>
      </c>
      <c r="E72">
        <v>1</v>
      </c>
      <c r="F72">
        <v>0</v>
      </c>
      <c r="G72">
        <v>0</v>
      </c>
      <c r="H72">
        <v>0</v>
      </c>
      <c r="I72">
        <v>0</v>
      </c>
      <c r="J72" t="s">
        <v>0</v>
      </c>
    </row>
    <row r="73" spans="1:10" x14ac:dyDescent="0.3">
      <c r="A73">
        <v>28</v>
      </c>
      <c r="B73">
        <v>750000</v>
      </c>
      <c r="C73">
        <v>6</v>
      </c>
      <c r="D73">
        <v>0</v>
      </c>
      <c r="E73">
        <v>1</v>
      </c>
      <c r="F73">
        <v>0</v>
      </c>
      <c r="G73">
        <v>1</v>
      </c>
      <c r="H73">
        <v>0</v>
      </c>
      <c r="I73">
        <v>0</v>
      </c>
      <c r="J73" t="s">
        <v>0</v>
      </c>
    </row>
    <row r="74" spans="1:10" x14ac:dyDescent="0.3">
      <c r="A74">
        <v>28</v>
      </c>
      <c r="B74">
        <v>800000</v>
      </c>
      <c r="C74">
        <v>6</v>
      </c>
      <c r="D74">
        <v>0</v>
      </c>
      <c r="E74">
        <v>1</v>
      </c>
      <c r="F74">
        <v>1</v>
      </c>
      <c r="G74">
        <v>1</v>
      </c>
      <c r="H74">
        <v>0</v>
      </c>
      <c r="I74">
        <v>0</v>
      </c>
      <c r="J74" t="s">
        <v>0</v>
      </c>
    </row>
    <row r="75" spans="1:10" x14ac:dyDescent="0.3">
      <c r="A75">
        <v>28</v>
      </c>
      <c r="B75">
        <v>750000</v>
      </c>
      <c r="C75">
        <v>7</v>
      </c>
      <c r="D75">
        <v>0</v>
      </c>
      <c r="E75">
        <v>1</v>
      </c>
      <c r="F75">
        <v>0</v>
      </c>
      <c r="G75">
        <v>1</v>
      </c>
      <c r="H75">
        <v>0</v>
      </c>
      <c r="I75">
        <v>0</v>
      </c>
      <c r="J75" t="s">
        <v>0</v>
      </c>
    </row>
    <row r="76" spans="1:10" x14ac:dyDescent="0.3">
      <c r="A76">
        <v>28</v>
      </c>
      <c r="B76">
        <v>700000</v>
      </c>
      <c r="C76">
        <v>4</v>
      </c>
      <c r="D76">
        <v>0</v>
      </c>
      <c r="E76">
        <v>1</v>
      </c>
      <c r="F76">
        <v>1</v>
      </c>
      <c r="G76">
        <v>0</v>
      </c>
      <c r="H76">
        <v>0</v>
      </c>
      <c r="I76">
        <v>0</v>
      </c>
      <c r="J76" t="s">
        <v>0</v>
      </c>
    </row>
    <row r="77" spans="1:10" x14ac:dyDescent="0.3">
      <c r="A77">
        <v>34</v>
      </c>
      <c r="B77">
        <v>1300000</v>
      </c>
      <c r="C77">
        <v>5</v>
      </c>
      <c r="D77">
        <v>0</v>
      </c>
      <c r="E77">
        <v>1</v>
      </c>
      <c r="F77">
        <v>0</v>
      </c>
      <c r="G77">
        <v>0</v>
      </c>
      <c r="H77">
        <v>0</v>
      </c>
      <c r="I77">
        <v>0</v>
      </c>
      <c r="J77" t="s">
        <v>0</v>
      </c>
    </row>
    <row r="78" spans="1:10" hidden="1" x14ac:dyDescent="0.3">
      <c r="A78">
        <v>29</v>
      </c>
      <c r="B78">
        <v>1200000</v>
      </c>
      <c r="C78">
        <v>3</v>
      </c>
      <c r="D78">
        <v>0</v>
      </c>
      <c r="E78">
        <v>1</v>
      </c>
      <c r="F78">
        <v>0</v>
      </c>
      <c r="G78">
        <v>0</v>
      </c>
      <c r="H78">
        <v>0</v>
      </c>
      <c r="I78">
        <v>1</v>
      </c>
      <c r="J78" t="s">
        <v>0</v>
      </c>
    </row>
    <row r="79" spans="1:10" x14ac:dyDescent="0.3">
      <c r="A79">
        <v>31</v>
      </c>
      <c r="B79">
        <v>400000</v>
      </c>
      <c r="C79">
        <v>4</v>
      </c>
      <c r="D79">
        <v>1</v>
      </c>
      <c r="E79">
        <v>0</v>
      </c>
      <c r="F79">
        <v>0</v>
      </c>
      <c r="G79">
        <v>0</v>
      </c>
      <c r="H79">
        <v>0</v>
      </c>
      <c r="I79">
        <v>0</v>
      </c>
      <c r="J79" t="s">
        <v>0</v>
      </c>
    </row>
    <row r="80" spans="1:10" hidden="1" x14ac:dyDescent="0.3">
      <c r="A80">
        <v>31</v>
      </c>
      <c r="B80">
        <v>1300000</v>
      </c>
      <c r="C80">
        <v>3</v>
      </c>
      <c r="D80">
        <v>1</v>
      </c>
      <c r="E80">
        <v>1</v>
      </c>
      <c r="F80">
        <v>0</v>
      </c>
      <c r="G80">
        <v>0</v>
      </c>
      <c r="H80">
        <v>1</v>
      </c>
      <c r="I80">
        <v>1</v>
      </c>
      <c r="J80" t="s">
        <v>0</v>
      </c>
    </row>
    <row r="81" spans="1:10" x14ac:dyDescent="0.3">
      <c r="A81">
        <v>31</v>
      </c>
      <c r="B81">
        <v>400000</v>
      </c>
      <c r="C81">
        <v>5</v>
      </c>
      <c r="D81">
        <v>1</v>
      </c>
      <c r="E81">
        <v>0</v>
      </c>
      <c r="F81">
        <v>1</v>
      </c>
      <c r="G81">
        <v>0</v>
      </c>
      <c r="H81">
        <v>0</v>
      </c>
      <c r="I81">
        <v>0</v>
      </c>
      <c r="J81" t="s">
        <v>0</v>
      </c>
    </row>
    <row r="82" spans="1:10" x14ac:dyDescent="0.3">
      <c r="A82">
        <v>26</v>
      </c>
      <c r="B82">
        <v>1300000</v>
      </c>
      <c r="C82">
        <v>4</v>
      </c>
      <c r="D82">
        <v>0</v>
      </c>
      <c r="E82">
        <v>1</v>
      </c>
      <c r="F82">
        <v>1</v>
      </c>
      <c r="G82">
        <v>0</v>
      </c>
      <c r="H82">
        <v>0</v>
      </c>
      <c r="I82">
        <v>0</v>
      </c>
      <c r="J82" t="s">
        <v>0</v>
      </c>
    </row>
    <row r="83" spans="1:10" x14ac:dyDescent="0.3">
      <c r="A83">
        <v>25</v>
      </c>
      <c r="B83">
        <v>1150000</v>
      </c>
      <c r="C83">
        <v>8</v>
      </c>
      <c r="D83">
        <v>0</v>
      </c>
      <c r="E83">
        <v>0</v>
      </c>
      <c r="F83">
        <v>0</v>
      </c>
      <c r="G83">
        <v>0</v>
      </c>
      <c r="H83">
        <v>0</v>
      </c>
      <c r="I83">
        <v>0</v>
      </c>
      <c r="J83" t="s">
        <v>0</v>
      </c>
    </row>
    <row r="84" spans="1:10" x14ac:dyDescent="0.3">
      <c r="A84">
        <v>28</v>
      </c>
      <c r="B84">
        <v>1250000</v>
      </c>
      <c r="C84">
        <v>4</v>
      </c>
      <c r="D84">
        <v>0</v>
      </c>
      <c r="E84">
        <v>1</v>
      </c>
      <c r="F84">
        <v>1</v>
      </c>
      <c r="G84">
        <v>0</v>
      </c>
      <c r="H84">
        <v>0</v>
      </c>
      <c r="I84">
        <v>0</v>
      </c>
      <c r="J84" t="s">
        <v>0</v>
      </c>
    </row>
    <row r="85" spans="1:10" hidden="1" x14ac:dyDescent="0.3">
      <c r="A85">
        <v>34</v>
      </c>
      <c r="B85">
        <v>950000</v>
      </c>
      <c r="C85">
        <v>4</v>
      </c>
      <c r="D85">
        <v>0</v>
      </c>
      <c r="E85">
        <v>0</v>
      </c>
      <c r="F85">
        <v>0</v>
      </c>
      <c r="G85">
        <v>1</v>
      </c>
      <c r="H85">
        <v>0</v>
      </c>
      <c r="I85">
        <v>1</v>
      </c>
      <c r="J85" t="s">
        <v>0</v>
      </c>
    </row>
    <row r="86" spans="1:10" x14ac:dyDescent="0.3">
      <c r="A86">
        <v>32</v>
      </c>
      <c r="B86">
        <v>350000</v>
      </c>
      <c r="C86">
        <v>6</v>
      </c>
      <c r="D86">
        <v>1</v>
      </c>
      <c r="E86">
        <v>1</v>
      </c>
      <c r="F86">
        <v>1</v>
      </c>
      <c r="G86">
        <v>0</v>
      </c>
      <c r="H86">
        <v>0</v>
      </c>
      <c r="I86">
        <v>0</v>
      </c>
      <c r="J86" t="s">
        <v>0</v>
      </c>
    </row>
    <row r="87" spans="1:10" hidden="1" x14ac:dyDescent="0.3">
      <c r="A87">
        <v>25</v>
      </c>
      <c r="B87">
        <v>1700000</v>
      </c>
      <c r="C87">
        <v>4</v>
      </c>
      <c r="D87">
        <v>0</v>
      </c>
      <c r="E87">
        <v>0</v>
      </c>
      <c r="F87">
        <v>0</v>
      </c>
      <c r="G87">
        <v>1</v>
      </c>
      <c r="H87">
        <v>0</v>
      </c>
      <c r="I87">
        <v>1</v>
      </c>
      <c r="J87" t="s">
        <v>0</v>
      </c>
    </row>
    <row r="88" spans="1:10" x14ac:dyDescent="0.3">
      <c r="A88">
        <v>32</v>
      </c>
      <c r="B88">
        <v>900000</v>
      </c>
      <c r="C88">
        <v>4</v>
      </c>
      <c r="D88">
        <v>1</v>
      </c>
      <c r="E88">
        <v>1</v>
      </c>
      <c r="F88">
        <v>0</v>
      </c>
      <c r="G88">
        <v>0</v>
      </c>
      <c r="H88">
        <v>0</v>
      </c>
      <c r="I88">
        <v>0</v>
      </c>
      <c r="J88" t="s">
        <v>0</v>
      </c>
    </row>
    <row r="89" spans="1:10" x14ac:dyDescent="0.3">
      <c r="A89">
        <v>28</v>
      </c>
      <c r="B89">
        <v>300000</v>
      </c>
      <c r="C89">
        <v>6</v>
      </c>
      <c r="D89">
        <v>1</v>
      </c>
      <c r="E89">
        <v>1</v>
      </c>
      <c r="F89">
        <v>0</v>
      </c>
      <c r="G89">
        <v>0</v>
      </c>
      <c r="H89">
        <v>0</v>
      </c>
      <c r="I89">
        <v>0</v>
      </c>
      <c r="J89" t="s">
        <v>0</v>
      </c>
    </row>
    <row r="90" spans="1:10" x14ac:dyDescent="0.3">
      <c r="A90">
        <v>34</v>
      </c>
      <c r="B90">
        <v>1050000</v>
      </c>
      <c r="C90">
        <v>5</v>
      </c>
      <c r="D90">
        <v>0</v>
      </c>
      <c r="E90">
        <v>1</v>
      </c>
      <c r="F90">
        <v>1</v>
      </c>
      <c r="G90">
        <v>0</v>
      </c>
      <c r="H90">
        <v>0</v>
      </c>
      <c r="I90">
        <v>0</v>
      </c>
      <c r="J90" t="s">
        <v>0</v>
      </c>
    </row>
    <row r="91" spans="1:10" x14ac:dyDescent="0.3">
      <c r="A91">
        <v>28</v>
      </c>
      <c r="B91">
        <v>300000</v>
      </c>
      <c r="C91">
        <v>8</v>
      </c>
      <c r="D91">
        <v>1</v>
      </c>
      <c r="E91">
        <v>1</v>
      </c>
      <c r="F91">
        <v>0</v>
      </c>
      <c r="G91">
        <v>0</v>
      </c>
      <c r="H91">
        <v>0</v>
      </c>
      <c r="I91">
        <v>0</v>
      </c>
      <c r="J91" t="s">
        <v>0</v>
      </c>
    </row>
    <row r="92" spans="1:10" x14ac:dyDescent="0.3">
      <c r="A92">
        <v>27</v>
      </c>
      <c r="B92">
        <v>1050000</v>
      </c>
      <c r="C92">
        <v>3</v>
      </c>
      <c r="D92">
        <v>1</v>
      </c>
      <c r="E92">
        <v>1</v>
      </c>
      <c r="F92">
        <v>0</v>
      </c>
      <c r="G92">
        <v>0</v>
      </c>
      <c r="H92">
        <v>0</v>
      </c>
      <c r="I92">
        <v>0</v>
      </c>
      <c r="J92" t="s">
        <v>0</v>
      </c>
    </row>
    <row r="93" spans="1:10" x14ac:dyDescent="0.3">
      <c r="A93">
        <v>28</v>
      </c>
      <c r="B93">
        <v>300000</v>
      </c>
      <c r="C93">
        <v>4</v>
      </c>
      <c r="D93">
        <v>1</v>
      </c>
      <c r="E93">
        <v>1</v>
      </c>
      <c r="F93">
        <v>1</v>
      </c>
      <c r="G93">
        <v>0</v>
      </c>
      <c r="H93">
        <v>0</v>
      </c>
      <c r="I93">
        <v>0</v>
      </c>
      <c r="J93" t="s">
        <v>0</v>
      </c>
    </row>
    <row r="94" spans="1:10" x14ac:dyDescent="0.3">
      <c r="A94">
        <v>28</v>
      </c>
      <c r="B94">
        <v>1150000</v>
      </c>
      <c r="C94">
        <v>5</v>
      </c>
      <c r="D94">
        <v>0</v>
      </c>
      <c r="E94">
        <v>1</v>
      </c>
      <c r="F94">
        <v>0</v>
      </c>
      <c r="G94">
        <v>0</v>
      </c>
      <c r="H94">
        <v>0</v>
      </c>
      <c r="I94">
        <v>0</v>
      </c>
      <c r="J94" t="s">
        <v>0</v>
      </c>
    </row>
    <row r="95" spans="1:10" hidden="1" x14ac:dyDescent="0.3">
      <c r="A95">
        <v>33</v>
      </c>
      <c r="B95">
        <v>700000</v>
      </c>
      <c r="C95">
        <v>7</v>
      </c>
      <c r="D95">
        <v>1</v>
      </c>
      <c r="E95">
        <v>1</v>
      </c>
      <c r="F95">
        <v>0</v>
      </c>
      <c r="G95">
        <v>1</v>
      </c>
      <c r="H95">
        <v>0</v>
      </c>
      <c r="I95">
        <v>1</v>
      </c>
      <c r="J95" t="s">
        <v>0</v>
      </c>
    </row>
    <row r="96" spans="1:10" x14ac:dyDescent="0.3">
      <c r="A96">
        <v>34</v>
      </c>
      <c r="B96">
        <v>1300000</v>
      </c>
      <c r="C96">
        <v>4</v>
      </c>
      <c r="D96">
        <v>0</v>
      </c>
      <c r="E96">
        <v>1</v>
      </c>
      <c r="F96">
        <v>0</v>
      </c>
      <c r="G96">
        <v>0</v>
      </c>
      <c r="H96">
        <v>0</v>
      </c>
      <c r="I96">
        <v>0</v>
      </c>
      <c r="J96" t="s">
        <v>0</v>
      </c>
    </row>
    <row r="97" spans="1:10" hidden="1" x14ac:dyDescent="0.3">
      <c r="A97">
        <v>26</v>
      </c>
      <c r="B97">
        <v>1400000</v>
      </c>
      <c r="C97">
        <v>5</v>
      </c>
      <c r="D97">
        <v>0</v>
      </c>
      <c r="E97">
        <v>1</v>
      </c>
      <c r="F97">
        <v>0</v>
      </c>
      <c r="G97">
        <v>0</v>
      </c>
      <c r="H97">
        <v>1</v>
      </c>
      <c r="I97">
        <v>1</v>
      </c>
      <c r="J97" t="s">
        <v>0</v>
      </c>
    </row>
    <row r="98" spans="1:10" x14ac:dyDescent="0.3">
      <c r="A98">
        <v>28</v>
      </c>
      <c r="B98">
        <v>700000</v>
      </c>
      <c r="C98">
        <v>4</v>
      </c>
      <c r="D98">
        <v>0</v>
      </c>
      <c r="E98">
        <v>1</v>
      </c>
      <c r="F98">
        <v>0</v>
      </c>
      <c r="G98">
        <v>0</v>
      </c>
      <c r="H98">
        <v>0</v>
      </c>
      <c r="I98">
        <v>0</v>
      </c>
      <c r="J98" t="s">
        <v>0</v>
      </c>
    </row>
    <row r="99" spans="1:10" x14ac:dyDescent="0.3">
      <c r="A99">
        <v>29</v>
      </c>
      <c r="B99">
        <v>350000</v>
      </c>
      <c r="C99">
        <v>7</v>
      </c>
      <c r="D99">
        <v>0</v>
      </c>
      <c r="E99">
        <v>1</v>
      </c>
      <c r="F99">
        <v>0</v>
      </c>
      <c r="G99">
        <v>0</v>
      </c>
      <c r="H99">
        <v>0</v>
      </c>
      <c r="I99">
        <v>0</v>
      </c>
      <c r="J99" t="s">
        <v>0</v>
      </c>
    </row>
    <row r="100" spans="1:10" x14ac:dyDescent="0.3">
      <c r="A100">
        <v>29</v>
      </c>
      <c r="B100">
        <v>1100000</v>
      </c>
      <c r="C100">
        <v>6</v>
      </c>
      <c r="D100">
        <v>0</v>
      </c>
      <c r="E100">
        <v>1</v>
      </c>
      <c r="F100">
        <v>0</v>
      </c>
      <c r="G100">
        <v>0</v>
      </c>
      <c r="H100">
        <v>0</v>
      </c>
      <c r="I100">
        <v>0</v>
      </c>
      <c r="J100" t="s">
        <v>0</v>
      </c>
    </row>
    <row r="101" spans="1:10" x14ac:dyDescent="0.3">
      <c r="A101">
        <v>29</v>
      </c>
      <c r="B101">
        <v>600000</v>
      </c>
      <c r="C101">
        <v>3</v>
      </c>
      <c r="D101">
        <v>1</v>
      </c>
      <c r="E101">
        <v>1</v>
      </c>
      <c r="F101">
        <v>0</v>
      </c>
      <c r="G101">
        <v>0</v>
      </c>
      <c r="H101">
        <v>0</v>
      </c>
      <c r="I101">
        <v>0</v>
      </c>
      <c r="J101" t="s">
        <v>0</v>
      </c>
    </row>
    <row r="102" spans="1:10" hidden="1" x14ac:dyDescent="0.3">
      <c r="A102">
        <v>28</v>
      </c>
      <c r="B102">
        <v>1300000</v>
      </c>
      <c r="C102">
        <v>6</v>
      </c>
      <c r="D102">
        <v>0</v>
      </c>
      <c r="E102">
        <v>1</v>
      </c>
      <c r="F102">
        <v>1</v>
      </c>
      <c r="G102">
        <v>0</v>
      </c>
      <c r="H102">
        <v>0</v>
      </c>
      <c r="I102">
        <v>1</v>
      </c>
      <c r="J102" t="s">
        <v>0</v>
      </c>
    </row>
    <row r="103" spans="1:10" hidden="1" x14ac:dyDescent="0.3">
      <c r="A103">
        <v>33</v>
      </c>
      <c r="B103">
        <v>1500000</v>
      </c>
      <c r="C103">
        <v>3</v>
      </c>
      <c r="D103">
        <v>0</v>
      </c>
      <c r="E103">
        <v>1</v>
      </c>
      <c r="F103">
        <v>1</v>
      </c>
      <c r="G103">
        <v>1</v>
      </c>
      <c r="H103">
        <v>1</v>
      </c>
      <c r="I103">
        <v>1</v>
      </c>
      <c r="J103" t="s">
        <v>0</v>
      </c>
    </row>
    <row r="104" spans="1:10" x14ac:dyDescent="0.3">
      <c r="A104">
        <v>29</v>
      </c>
      <c r="B104">
        <v>500000</v>
      </c>
      <c r="C104">
        <v>3</v>
      </c>
      <c r="D104">
        <v>0</v>
      </c>
      <c r="E104">
        <v>1</v>
      </c>
      <c r="F104">
        <v>1</v>
      </c>
      <c r="G104">
        <v>0</v>
      </c>
      <c r="H104">
        <v>0</v>
      </c>
      <c r="I104">
        <v>0</v>
      </c>
      <c r="J104" t="s">
        <v>0</v>
      </c>
    </row>
    <row r="105" spans="1:10" hidden="1" x14ac:dyDescent="0.3">
      <c r="A105">
        <v>26</v>
      </c>
      <c r="B105">
        <v>1400000</v>
      </c>
      <c r="C105">
        <v>5</v>
      </c>
      <c r="D105">
        <v>0</v>
      </c>
      <c r="E105">
        <v>1</v>
      </c>
      <c r="F105">
        <v>0</v>
      </c>
      <c r="G105">
        <v>0</v>
      </c>
      <c r="H105">
        <v>1</v>
      </c>
      <c r="I105">
        <v>1</v>
      </c>
      <c r="J105" t="s">
        <v>0</v>
      </c>
    </row>
    <row r="106" spans="1:10" x14ac:dyDescent="0.3">
      <c r="A106">
        <v>28</v>
      </c>
      <c r="B106">
        <v>1150000</v>
      </c>
      <c r="C106">
        <v>3</v>
      </c>
      <c r="D106">
        <v>0</v>
      </c>
      <c r="E106">
        <v>1</v>
      </c>
      <c r="F106">
        <v>0</v>
      </c>
      <c r="G106">
        <v>0</v>
      </c>
      <c r="H106">
        <v>0</v>
      </c>
      <c r="I106">
        <v>0</v>
      </c>
      <c r="J106" t="s">
        <v>0</v>
      </c>
    </row>
    <row r="107" spans="1:10" x14ac:dyDescent="0.3">
      <c r="A107">
        <v>28</v>
      </c>
      <c r="B107">
        <v>750000</v>
      </c>
      <c r="C107">
        <v>3</v>
      </c>
      <c r="D107">
        <v>0</v>
      </c>
      <c r="E107">
        <v>1</v>
      </c>
      <c r="F107">
        <v>0</v>
      </c>
      <c r="G107">
        <v>0</v>
      </c>
      <c r="H107">
        <v>0</v>
      </c>
      <c r="I107">
        <v>0</v>
      </c>
      <c r="J107" t="s">
        <v>0</v>
      </c>
    </row>
    <row r="108" spans="1:10" x14ac:dyDescent="0.3">
      <c r="A108">
        <v>34</v>
      </c>
      <c r="B108">
        <v>1300000</v>
      </c>
      <c r="C108">
        <v>3</v>
      </c>
      <c r="D108">
        <v>0</v>
      </c>
      <c r="E108">
        <v>1</v>
      </c>
      <c r="F108">
        <v>0</v>
      </c>
      <c r="G108">
        <v>0</v>
      </c>
      <c r="H108">
        <v>0</v>
      </c>
      <c r="I108">
        <v>0</v>
      </c>
      <c r="J108" t="s">
        <v>0</v>
      </c>
    </row>
    <row r="109" spans="1:10" x14ac:dyDescent="0.3">
      <c r="A109">
        <v>34</v>
      </c>
      <c r="B109">
        <v>850000</v>
      </c>
      <c r="C109">
        <v>3</v>
      </c>
      <c r="D109">
        <v>0</v>
      </c>
      <c r="E109">
        <v>1</v>
      </c>
      <c r="F109">
        <v>1</v>
      </c>
      <c r="G109">
        <v>0</v>
      </c>
      <c r="H109">
        <v>1</v>
      </c>
      <c r="I109">
        <v>0</v>
      </c>
      <c r="J109" t="s">
        <v>0</v>
      </c>
    </row>
    <row r="110" spans="1:10" hidden="1" x14ac:dyDescent="0.3">
      <c r="A110">
        <v>26</v>
      </c>
      <c r="B110">
        <v>1300000</v>
      </c>
      <c r="C110">
        <v>4</v>
      </c>
      <c r="D110">
        <v>0</v>
      </c>
      <c r="E110">
        <v>1</v>
      </c>
      <c r="F110">
        <v>0</v>
      </c>
      <c r="G110">
        <v>0</v>
      </c>
      <c r="H110">
        <v>0</v>
      </c>
      <c r="I110">
        <v>1</v>
      </c>
      <c r="J110" t="s">
        <v>0</v>
      </c>
    </row>
    <row r="111" spans="1:10" hidden="1" x14ac:dyDescent="0.3">
      <c r="A111">
        <v>25</v>
      </c>
      <c r="B111">
        <v>1700000</v>
      </c>
      <c r="C111">
        <v>3</v>
      </c>
      <c r="D111">
        <v>0</v>
      </c>
      <c r="E111">
        <v>1</v>
      </c>
      <c r="F111">
        <v>0</v>
      </c>
      <c r="G111">
        <v>1</v>
      </c>
      <c r="H111">
        <v>0</v>
      </c>
      <c r="I111">
        <v>1</v>
      </c>
      <c r="J111" t="s">
        <v>0</v>
      </c>
    </row>
    <row r="112" spans="1:10" x14ac:dyDescent="0.3">
      <c r="A112">
        <v>31</v>
      </c>
      <c r="B112">
        <v>400000</v>
      </c>
      <c r="C112">
        <v>5</v>
      </c>
      <c r="D112">
        <v>1</v>
      </c>
      <c r="E112">
        <v>1</v>
      </c>
      <c r="F112">
        <v>0</v>
      </c>
      <c r="G112">
        <v>0</v>
      </c>
      <c r="H112">
        <v>0</v>
      </c>
      <c r="I112">
        <v>0</v>
      </c>
      <c r="J112" t="s">
        <v>0</v>
      </c>
    </row>
    <row r="113" spans="1:10" x14ac:dyDescent="0.3">
      <c r="A113">
        <v>28</v>
      </c>
      <c r="B113">
        <v>800000</v>
      </c>
      <c r="C113">
        <v>5</v>
      </c>
      <c r="D113">
        <v>0</v>
      </c>
      <c r="E113">
        <v>1</v>
      </c>
      <c r="F113">
        <v>0</v>
      </c>
      <c r="G113">
        <v>0</v>
      </c>
      <c r="H113">
        <v>0</v>
      </c>
      <c r="I113">
        <v>0</v>
      </c>
      <c r="J113" t="s">
        <v>0</v>
      </c>
    </row>
    <row r="114" spans="1:10" x14ac:dyDescent="0.3">
      <c r="A114">
        <v>30</v>
      </c>
      <c r="B114">
        <v>800000</v>
      </c>
      <c r="C114">
        <v>4</v>
      </c>
      <c r="D114">
        <v>0</v>
      </c>
      <c r="E114">
        <v>0</v>
      </c>
      <c r="F114">
        <v>0</v>
      </c>
      <c r="G114">
        <v>0</v>
      </c>
      <c r="H114">
        <v>0</v>
      </c>
      <c r="I114">
        <v>0</v>
      </c>
      <c r="J114" t="s">
        <v>0</v>
      </c>
    </row>
    <row r="115" spans="1:10" x14ac:dyDescent="0.3">
      <c r="A115">
        <v>29</v>
      </c>
      <c r="B115">
        <v>900000</v>
      </c>
      <c r="C115">
        <v>4</v>
      </c>
      <c r="D115">
        <v>0</v>
      </c>
      <c r="E115">
        <v>1</v>
      </c>
      <c r="F115">
        <v>0</v>
      </c>
      <c r="G115">
        <v>1</v>
      </c>
      <c r="H115">
        <v>0</v>
      </c>
      <c r="I115">
        <v>0</v>
      </c>
      <c r="J115" t="s">
        <v>0</v>
      </c>
    </row>
    <row r="116" spans="1:10" x14ac:dyDescent="0.3">
      <c r="A116">
        <v>29</v>
      </c>
      <c r="B116">
        <v>500000</v>
      </c>
      <c r="C116">
        <v>5</v>
      </c>
      <c r="D116">
        <v>0</v>
      </c>
      <c r="E116">
        <v>1</v>
      </c>
      <c r="F116">
        <v>0</v>
      </c>
      <c r="G116">
        <v>0</v>
      </c>
      <c r="H116">
        <v>0</v>
      </c>
      <c r="I116">
        <v>0</v>
      </c>
      <c r="J116" t="s">
        <v>0</v>
      </c>
    </row>
    <row r="117" spans="1:10" x14ac:dyDescent="0.3">
      <c r="A117">
        <v>29</v>
      </c>
      <c r="B117">
        <v>900000</v>
      </c>
      <c r="C117">
        <v>4</v>
      </c>
      <c r="D117">
        <v>0</v>
      </c>
      <c r="E117">
        <v>1</v>
      </c>
      <c r="F117">
        <v>0</v>
      </c>
      <c r="G117">
        <v>0</v>
      </c>
      <c r="H117">
        <v>0</v>
      </c>
      <c r="I117">
        <v>0</v>
      </c>
      <c r="J117" t="s">
        <v>0</v>
      </c>
    </row>
    <row r="118" spans="1:10" hidden="1" x14ac:dyDescent="0.3">
      <c r="A118">
        <v>28</v>
      </c>
      <c r="B118">
        <v>1150000</v>
      </c>
      <c r="C118">
        <v>5</v>
      </c>
      <c r="D118">
        <v>0</v>
      </c>
      <c r="E118">
        <v>1</v>
      </c>
      <c r="F118">
        <v>0</v>
      </c>
      <c r="G118">
        <v>0</v>
      </c>
      <c r="H118">
        <v>0</v>
      </c>
      <c r="I118">
        <v>1</v>
      </c>
      <c r="J118" t="s">
        <v>0</v>
      </c>
    </row>
    <row r="119" spans="1:10" x14ac:dyDescent="0.3">
      <c r="A119">
        <v>31</v>
      </c>
      <c r="B119">
        <v>400000</v>
      </c>
      <c r="C119">
        <v>5</v>
      </c>
      <c r="D119">
        <v>1</v>
      </c>
      <c r="E119">
        <v>1</v>
      </c>
      <c r="F119">
        <v>0</v>
      </c>
      <c r="G119">
        <v>0</v>
      </c>
      <c r="H119">
        <v>0</v>
      </c>
      <c r="I119">
        <v>0</v>
      </c>
      <c r="J119" t="s">
        <v>0</v>
      </c>
    </row>
    <row r="120" spans="1:10" hidden="1" x14ac:dyDescent="0.3">
      <c r="A120">
        <v>31</v>
      </c>
      <c r="B120">
        <v>1500000</v>
      </c>
      <c r="C120">
        <v>4</v>
      </c>
      <c r="D120">
        <v>1</v>
      </c>
      <c r="E120">
        <v>1</v>
      </c>
      <c r="F120">
        <v>1</v>
      </c>
      <c r="G120">
        <v>1</v>
      </c>
      <c r="H120">
        <v>1</v>
      </c>
      <c r="I120">
        <v>1</v>
      </c>
      <c r="J120" t="s">
        <v>0</v>
      </c>
    </row>
    <row r="121" spans="1:10" x14ac:dyDescent="0.3">
      <c r="A121">
        <v>31</v>
      </c>
      <c r="B121">
        <v>500000</v>
      </c>
      <c r="C121">
        <v>4</v>
      </c>
      <c r="D121">
        <v>0</v>
      </c>
      <c r="E121">
        <v>1</v>
      </c>
      <c r="F121">
        <v>0</v>
      </c>
      <c r="G121">
        <v>0</v>
      </c>
      <c r="H121">
        <v>0</v>
      </c>
      <c r="I121">
        <v>0</v>
      </c>
      <c r="J121" t="s">
        <v>0</v>
      </c>
    </row>
    <row r="122" spans="1:10" x14ac:dyDescent="0.3">
      <c r="A122">
        <v>28</v>
      </c>
      <c r="B122">
        <v>800000</v>
      </c>
      <c r="C122">
        <v>3</v>
      </c>
      <c r="D122">
        <v>0</v>
      </c>
      <c r="E122">
        <v>1</v>
      </c>
      <c r="F122">
        <v>1</v>
      </c>
      <c r="G122">
        <v>0</v>
      </c>
      <c r="H122">
        <v>0</v>
      </c>
      <c r="I122">
        <v>0</v>
      </c>
      <c r="J122" t="s">
        <v>0</v>
      </c>
    </row>
    <row r="123" spans="1:10" hidden="1" x14ac:dyDescent="0.3">
      <c r="A123">
        <v>26</v>
      </c>
      <c r="B123">
        <v>1400000</v>
      </c>
      <c r="C123">
        <v>6</v>
      </c>
      <c r="D123">
        <v>0</v>
      </c>
      <c r="E123">
        <v>1</v>
      </c>
      <c r="F123">
        <v>0</v>
      </c>
      <c r="G123">
        <v>0</v>
      </c>
      <c r="H123">
        <v>1</v>
      </c>
      <c r="I123">
        <v>1</v>
      </c>
      <c r="J123" t="s">
        <v>0</v>
      </c>
    </row>
    <row r="124" spans="1:10" x14ac:dyDescent="0.3">
      <c r="A124">
        <v>32</v>
      </c>
      <c r="B124">
        <v>800000</v>
      </c>
      <c r="C124">
        <v>6</v>
      </c>
      <c r="D124">
        <v>1</v>
      </c>
      <c r="E124">
        <v>1</v>
      </c>
      <c r="F124">
        <v>1</v>
      </c>
      <c r="G124">
        <v>0</v>
      </c>
      <c r="H124">
        <v>0</v>
      </c>
      <c r="I124">
        <v>0</v>
      </c>
      <c r="J124" t="s">
        <v>0</v>
      </c>
    </row>
    <row r="125" spans="1:10" x14ac:dyDescent="0.3">
      <c r="A125">
        <v>27</v>
      </c>
      <c r="B125">
        <v>850000</v>
      </c>
      <c r="C125">
        <v>3</v>
      </c>
      <c r="D125">
        <v>1</v>
      </c>
      <c r="E125">
        <v>1</v>
      </c>
      <c r="F125">
        <v>0</v>
      </c>
      <c r="G125">
        <v>0</v>
      </c>
      <c r="H125">
        <v>0</v>
      </c>
      <c r="I125">
        <v>0</v>
      </c>
      <c r="J125" t="s">
        <v>0</v>
      </c>
    </row>
    <row r="126" spans="1:10" x14ac:dyDescent="0.3">
      <c r="A126">
        <v>32</v>
      </c>
      <c r="B126">
        <v>350000</v>
      </c>
      <c r="C126">
        <v>4</v>
      </c>
      <c r="D126">
        <v>1</v>
      </c>
      <c r="E126">
        <v>1</v>
      </c>
      <c r="F126">
        <v>1</v>
      </c>
      <c r="G126">
        <v>0</v>
      </c>
      <c r="H126">
        <v>0</v>
      </c>
      <c r="I126">
        <v>0</v>
      </c>
      <c r="J126" t="s">
        <v>0</v>
      </c>
    </row>
    <row r="127" spans="1:10" hidden="1" x14ac:dyDescent="0.3">
      <c r="A127">
        <v>29</v>
      </c>
      <c r="B127">
        <v>500000</v>
      </c>
      <c r="C127">
        <v>3</v>
      </c>
      <c r="D127">
        <v>0</v>
      </c>
      <c r="E127">
        <v>1</v>
      </c>
      <c r="F127">
        <v>1</v>
      </c>
      <c r="G127">
        <v>0</v>
      </c>
      <c r="H127">
        <v>0</v>
      </c>
      <c r="I127">
        <v>1</v>
      </c>
      <c r="J127" t="s">
        <v>0</v>
      </c>
    </row>
    <row r="128" spans="1:10" x14ac:dyDescent="0.3">
      <c r="A128">
        <v>32</v>
      </c>
      <c r="B128">
        <v>800000</v>
      </c>
      <c r="C128">
        <v>5</v>
      </c>
      <c r="D128">
        <v>1</v>
      </c>
      <c r="E128">
        <v>1</v>
      </c>
      <c r="F128">
        <v>0</v>
      </c>
      <c r="G128">
        <v>1</v>
      </c>
      <c r="H128">
        <v>0</v>
      </c>
      <c r="I128">
        <v>0</v>
      </c>
      <c r="J128" t="s">
        <v>0</v>
      </c>
    </row>
    <row r="129" spans="1:10" x14ac:dyDescent="0.3">
      <c r="A129">
        <v>27</v>
      </c>
      <c r="B129">
        <v>750000</v>
      </c>
      <c r="C129">
        <v>5</v>
      </c>
      <c r="D129">
        <v>1</v>
      </c>
      <c r="E129">
        <v>1</v>
      </c>
      <c r="F129">
        <v>0</v>
      </c>
      <c r="G129">
        <v>0</v>
      </c>
      <c r="H129">
        <v>0</v>
      </c>
      <c r="I129">
        <v>0</v>
      </c>
      <c r="J129" t="s">
        <v>0</v>
      </c>
    </row>
    <row r="130" spans="1:10" hidden="1" x14ac:dyDescent="0.3">
      <c r="A130">
        <v>31</v>
      </c>
      <c r="B130">
        <v>1350000</v>
      </c>
      <c r="C130">
        <v>8</v>
      </c>
      <c r="D130">
        <v>0</v>
      </c>
      <c r="E130">
        <v>1</v>
      </c>
      <c r="F130">
        <v>0</v>
      </c>
      <c r="G130">
        <v>0</v>
      </c>
      <c r="H130">
        <v>1</v>
      </c>
      <c r="I130">
        <v>1</v>
      </c>
      <c r="J130" t="s">
        <v>0</v>
      </c>
    </row>
    <row r="131" spans="1:10" x14ac:dyDescent="0.3">
      <c r="A131">
        <v>29</v>
      </c>
      <c r="B131">
        <v>1050000</v>
      </c>
      <c r="C131">
        <v>6</v>
      </c>
      <c r="D131">
        <v>0</v>
      </c>
      <c r="E131">
        <v>1</v>
      </c>
      <c r="F131">
        <v>0</v>
      </c>
      <c r="G131">
        <v>0</v>
      </c>
      <c r="H131">
        <v>0</v>
      </c>
      <c r="I131">
        <v>0</v>
      </c>
      <c r="J131" t="s">
        <v>0</v>
      </c>
    </row>
    <row r="132" spans="1:10" x14ac:dyDescent="0.3">
      <c r="A132">
        <v>28</v>
      </c>
      <c r="B132">
        <v>800000</v>
      </c>
      <c r="C132">
        <v>4</v>
      </c>
      <c r="D132">
        <v>0</v>
      </c>
      <c r="E132">
        <v>1</v>
      </c>
      <c r="F132">
        <v>0</v>
      </c>
      <c r="G132">
        <v>0</v>
      </c>
      <c r="H132">
        <v>0</v>
      </c>
      <c r="I132">
        <v>0</v>
      </c>
      <c r="J132" t="s">
        <v>0</v>
      </c>
    </row>
    <row r="133" spans="1:10" x14ac:dyDescent="0.3">
      <c r="A133">
        <v>28</v>
      </c>
      <c r="B133">
        <v>750000</v>
      </c>
      <c r="C133">
        <v>4</v>
      </c>
      <c r="D133">
        <v>0</v>
      </c>
      <c r="E133">
        <v>1</v>
      </c>
      <c r="F133">
        <v>0</v>
      </c>
      <c r="G133">
        <v>0</v>
      </c>
      <c r="H133">
        <v>0</v>
      </c>
      <c r="I133">
        <v>0</v>
      </c>
      <c r="J133" t="s">
        <v>0</v>
      </c>
    </row>
    <row r="134" spans="1:10" x14ac:dyDescent="0.3">
      <c r="A134">
        <v>28</v>
      </c>
      <c r="B134">
        <v>1100000</v>
      </c>
      <c r="C134">
        <v>4</v>
      </c>
      <c r="D134">
        <v>0</v>
      </c>
      <c r="E134">
        <v>1</v>
      </c>
      <c r="F134">
        <v>0</v>
      </c>
      <c r="G134">
        <v>0</v>
      </c>
      <c r="H134">
        <v>0</v>
      </c>
      <c r="I134">
        <v>0</v>
      </c>
      <c r="J134" t="s">
        <v>0</v>
      </c>
    </row>
    <row r="135" spans="1:10" hidden="1" x14ac:dyDescent="0.3">
      <c r="A135">
        <v>25</v>
      </c>
      <c r="B135">
        <v>1750000</v>
      </c>
      <c r="C135">
        <v>4</v>
      </c>
      <c r="D135">
        <v>0</v>
      </c>
      <c r="E135">
        <v>1</v>
      </c>
      <c r="F135">
        <v>0</v>
      </c>
      <c r="G135">
        <v>0</v>
      </c>
      <c r="H135">
        <v>1</v>
      </c>
      <c r="I135">
        <v>1</v>
      </c>
      <c r="J135" t="s">
        <v>0</v>
      </c>
    </row>
    <row r="136" spans="1:10" x14ac:dyDescent="0.3">
      <c r="A136">
        <v>28</v>
      </c>
      <c r="B136">
        <v>600000</v>
      </c>
      <c r="C136">
        <v>5</v>
      </c>
      <c r="D136">
        <v>0</v>
      </c>
      <c r="E136">
        <v>1</v>
      </c>
      <c r="F136">
        <v>0</v>
      </c>
      <c r="G136">
        <v>1</v>
      </c>
      <c r="H136">
        <v>0</v>
      </c>
      <c r="I136">
        <v>0</v>
      </c>
      <c r="J136" t="s">
        <v>0</v>
      </c>
    </row>
    <row r="137" spans="1:10" hidden="1" x14ac:dyDescent="0.3">
      <c r="A137">
        <v>28</v>
      </c>
      <c r="B137">
        <v>800000</v>
      </c>
      <c r="C137">
        <v>6</v>
      </c>
      <c r="D137">
        <v>0</v>
      </c>
      <c r="E137">
        <v>1</v>
      </c>
      <c r="F137">
        <v>0</v>
      </c>
      <c r="G137">
        <v>0</v>
      </c>
      <c r="H137">
        <v>1</v>
      </c>
      <c r="I137">
        <v>1</v>
      </c>
      <c r="J137" t="s">
        <v>0</v>
      </c>
    </row>
    <row r="138" spans="1:10" hidden="1" x14ac:dyDescent="0.3">
      <c r="A138">
        <v>29</v>
      </c>
      <c r="B138">
        <v>500000</v>
      </c>
      <c r="C138">
        <v>6</v>
      </c>
      <c r="D138">
        <v>0</v>
      </c>
      <c r="E138">
        <v>1</v>
      </c>
      <c r="F138">
        <v>0</v>
      </c>
      <c r="G138">
        <v>0</v>
      </c>
      <c r="H138">
        <v>0</v>
      </c>
      <c r="I138">
        <v>1</v>
      </c>
      <c r="J138" t="s">
        <v>0</v>
      </c>
    </row>
    <row r="139" spans="1:10" x14ac:dyDescent="0.3">
      <c r="A139">
        <v>29</v>
      </c>
      <c r="B139">
        <v>600000</v>
      </c>
      <c r="C139">
        <v>4</v>
      </c>
      <c r="D139">
        <v>0</v>
      </c>
      <c r="E139">
        <v>1</v>
      </c>
      <c r="F139">
        <v>1</v>
      </c>
      <c r="G139">
        <v>1</v>
      </c>
      <c r="H139">
        <v>0</v>
      </c>
      <c r="I139">
        <v>0</v>
      </c>
      <c r="J139" t="s">
        <v>0</v>
      </c>
    </row>
    <row r="140" spans="1:10" x14ac:dyDescent="0.3">
      <c r="A140">
        <v>28</v>
      </c>
      <c r="B140">
        <v>1150000</v>
      </c>
      <c r="C140">
        <v>4</v>
      </c>
      <c r="D140">
        <v>0</v>
      </c>
      <c r="E140">
        <v>1</v>
      </c>
      <c r="F140">
        <v>0</v>
      </c>
      <c r="G140">
        <v>0</v>
      </c>
      <c r="H140">
        <v>0</v>
      </c>
      <c r="I140">
        <v>0</v>
      </c>
      <c r="J140" t="s">
        <v>0</v>
      </c>
    </row>
    <row r="141" spans="1:10" hidden="1" x14ac:dyDescent="0.3">
      <c r="A141">
        <v>35</v>
      </c>
      <c r="B141">
        <v>800000</v>
      </c>
      <c r="C141">
        <v>7</v>
      </c>
      <c r="D141">
        <v>0</v>
      </c>
      <c r="E141">
        <v>0</v>
      </c>
      <c r="F141">
        <v>1</v>
      </c>
      <c r="G141">
        <v>0</v>
      </c>
      <c r="H141">
        <v>0</v>
      </c>
      <c r="I141">
        <v>1</v>
      </c>
      <c r="J141" t="s">
        <v>0</v>
      </c>
    </row>
    <row r="142" spans="1:10" x14ac:dyDescent="0.3">
      <c r="A142">
        <v>28</v>
      </c>
      <c r="B142">
        <v>550000</v>
      </c>
      <c r="C142">
        <v>4</v>
      </c>
      <c r="D142">
        <v>0</v>
      </c>
      <c r="E142">
        <v>1</v>
      </c>
      <c r="F142">
        <v>1</v>
      </c>
      <c r="G142">
        <v>0</v>
      </c>
      <c r="H142">
        <v>0</v>
      </c>
      <c r="I142">
        <v>0</v>
      </c>
      <c r="J142" t="s">
        <v>0</v>
      </c>
    </row>
    <row r="143" spans="1:10" x14ac:dyDescent="0.3">
      <c r="A143">
        <v>25</v>
      </c>
      <c r="B143">
        <v>1400000</v>
      </c>
      <c r="C143">
        <v>3</v>
      </c>
      <c r="D143">
        <v>0</v>
      </c>
      <c r="E143">
        <v>1</v>
      </c>
      <c r="F143">
        <v>0</v>
      </c>
      <c r="G143">
        <v>0</v>
      </c>
      <c r="H143">
        <v>1</v>
      </c>
      <c r="I143">
        <v>0</v>
      </c>
      <c r="J143" t="s">
        <v>0</v>
      </c>
    </row>
    <row r="144" spans="1:10" x14ac:dyDescent="0.3">
      <c r="A144">
        <v>32</v>
      </c>
      <c r="B144">
        <v>350000</v>
      </c>
      <c r="C144">
        <v>9</v>
      </c>
      <c r="D144">
        <v>1</v>
      </c>
      <c r="E144">
        <v>1</v>
      </c>
      <c r="F144">
        <v>1</v>
      </c>
      <c r="G144">
        <v>0</v>
      </c>
      <c r="H144">
        <v>0</v>
      </c>
      <c r="I144">
        <v>0</v>
      </c>
      <c r="J144" t="s">
        <v>0</v>
      </c>
    </row>
    <row r="145" spans="1:10" x14ac:dyDescent="0.3">
      <c r="A145">
        <v>26</v>
      </c>
      <c r="B145">
        <v>1300000</v>
      </c>
      <c r="C145">
        <v>4</v>
      </c>
      <c r="D145">
        <v>0</v>
      </c>
      <c r="E145">
        <v>1</v>
      </c>
      <c r="F145">
        <v>0</v>
      </c>
      <c r="G145">
        <v>0</v>
      </c>
      <c r="H145">
        <v>0</v>
      </c>
      <c r="I145">
        <v>0</v>
      </c>
      <c r="J145" t="s">
        <v>0</v>
      </c>
    </row>
    <row r="146" spans="1:10" x14ac:dyDescent="0.3">
      <c r="A146">
        <v>31</v>
      </c>
      <c r="B146">
        <v>1250000</v>
      </c>
      <c r="C146">
        <v>4</v>
      </c>
      <c r="D146">
        <v>0</v>
      </c>
      <c r="E146">
        <v>1</v>
      </c>
      <c r="F146">
        <v>0</v>
      </c>
      <c r="G146">
        <v>0</v>
      </c>
      <c r="H146">
        <v>0</v>
      </c>
      <c r="I146">
        <v>0</v>
      </c>
      <c r="J146" t="s">
        <v>0</v>
      </c>
    </row>
    <row r="147" spans="1:10" x14ac:dyDescent="0.3">
      <c r="A147">
        <v>28</v>
      </c>
      <c r="B147">
        <v>1150000</v>
      </c>
      <c r="C147">
        <v>6</v>
      </c>
      <c r="D147">
        <v>0</v>
      </c>
      <c r="E147">
        <v>1</v>
      </c>
      <c r="F147">
        <v>0</v>
      </c>
      <c r="G147">
        <v>0</v>
      </c>
      <c r="H147">
        <v>0</v>
      </c>
      <c r="I147">
        <v>0</v>
      </c>
      <c r="J147" t="s">
        <v>0</v>
      </c>
    </row>
    <row r="148" spans="1:10" hidden="1" x14ac:dyDescent="0.3">
      <c r="A148">
        <v>30</v>
      </c>
      <c r="B148">
        <v>750000</v>
      </c>
      <c r="C148">
        <v>3</v>
      </c>
      <c r="D148">
        <v>0</v>
      </c>
      <c r="E148">
        <v>0</v>
      </c>
      <c r="F148">
        <v>1</v>
      </c>
      <c r="G148">
        <v>0</v>
      </c>
      <c r="H148">
        <v>0</v>
      </c>
      <c r="I148">
        <v>1</v>
      </c>
      <c r="J148" t="s">
        <v>0</v>
      </c>
    </row>
    <row r="149" spans="1:10" x14ac:dyDescent="0.3">
      <c r="A149">
        <v>31</v>
      </c>
      <c r="B149">
        <v>400000</v>
      </c>
      <c r="C149">
        <v>4</v>
      </c>
      <c r="D149">
        <v>1</v>
      </c>
      <c r="E149">
        <v>0</v>
      </c>
      <c r="F149">
        <v>1</v>
      </c>
      <c r="G149">
        <v>0</v>
      </c>
      <c r="H149">
        <v>0</v>
      </c>
      <c r="I149">
        <v>0</v>
      </c>
      <c r="J149" t="s">
        <v>0</v>
      </c>
    </row>
    <row r="150" spans="1:10" hidden="1" x14ac:dyDescent="0.3">
      <c r="A150">
        <v>25</v>
      </c>
      <c r="B150">
        <v>1400000</v>
      </c>
      <c r="C150">
        <v>4</v>
      </c>
      <c r="D150">
        <v>0</v>
      </c>
      <c r="E150">
        <v>1</v>
      </c>
      <c r="F150">
        <v>0</v>
      </c>
      <c r="G150">
        <v>0</v>
      </c>
      <c r="H150">
        <v>1</v>
      </c>
      <c r="I150">
        <v>1</v>
      </c>
      <c r="J150" t="s">
        <v>0</v>
      </c>
    </row>
    <row r="151" spans="1:10" x14ac:dyDescent="0.3">
      <c r="A151">
        <v>28</v>
      </c>
      <c r="B151">
        <v>800000</v>
      </c>
      <c r="C151">
        <v>5</v>
      </c>
      <c r="D151">
        <v>0</v>
      </c>
      <c r="E151">
        <v>1</v>
      </c>
      <c r="F151">
        <v>1</v>
      </c>
      <c r="G151">
        <v>0</v>
      </c>
      <c r="H151">
        <v>0</v>
      </c>
      <c r="I151">
        <v>0</v>
      </c>
      <c r="J151" t="s">
        <v>0</v>
      </c>
    </row>
    <row r="152" spans="1:10" hidden="1" x14ac:dyDescent="0.3">
      <c r="A152">
        <v>28</v>
      </c>
      <c r="B152">
        <v>650000</v>
      </c>
      <c r="C152">
        <v>2</v>
      </c>
      <c r="D152">
        <v>0</v>
      </c>
      <c r="E152">
        <v>1</v>
      </c>
      <c r="F152">
        <v>1</v>
      </c>
      <c r="G152">
        <v>0</v>
      </c>
      <c r="H152">
        <v>0</v>
      </c>
      <c r="I152">
        <v>1</v>
      </c>
      <c r="J152" t="s">
        <v>0</v>
      </c>
    </row>
    <row r="153" spans="1:10" hidden="1" x14ac:dyDescent="0.3">
      <c r="A153">
        <v>29</v>
      </c>
      <c r="B153">
        <v>1200000</v>
      </c>
      <c r="C153">
        <v>7</v>
      </c>
      <c r="D153">
        <v>0</v>
      </c>
      <c r="E153">
        <v>1</v>
      </c>
      <c r="F153">
        <v>0</v>
      </c>
      <c r="G153">
        <v>0</v>
      </c>
      <c r="H153">
        <v>0</v>
      </c>
      <c r="I153">
        <v>1</v>
      </c>
      <c r="J153" t="s">
        <v>0</v>
      </c>
    </row>
    <row r="154" spans="1:10" x14ac:dyDescent="0.3">
      <c r="A154">
        <v>28</v>
      </c>
      <c r="B154">
        <v>1200000</v>
      </c>
      <c r="C154">
        <v>5</v>
      </c>
      <c r="D154">
        <v>0</v>
      </c>
      <c r="E154">
        <v>1</v>
      </c>
      <c r="F154">
        <v>0</v>
      </c>
      <c r="G154">
        <v>1</v>
      </c>
      <c r="H154">
        <v>0</v>
      </c>
      <c r="I154">
        <v>0</v>
      </c>
      <c r="J154" t="s">
        <v>0</v>
      </c>
    </row>
    <row r="155" spans="1:10" x14ac:dyDescent="0.3">
      <c r="A155">
        <v>25</v>
      </c>
      <c r="B155">
        <v>600000</v>
      </c>
      <c r="C155">
        <v>5</v>
      </c>
      <c r="D155">
        <v>0</v>
      </c>
      <c r="E155">
        <v>0</v>
      </c>
      <c r="F155">
        <v>0</v>
      </c>
      <c r="G155">
        <v>1</v>
      </c>
      <c r="H155">
        <v>0</v>
      </c>
      <c r="I155">
        <v>0</v>
      </c>
      <c r="J155" t="s">
        <v>0</v>
      </c>
    </row>
    <row r="156" spans="1:10" x14ac:dyDescent="0.3">
      <c r="A156">
        <v>28</v>
      </c>
      <c r="B156">
        <v>700000</v>
      </c>
      <c r="C156">
        <v>4</v>
      </c>
      <c r="D156">
        <v>0</v>
      </c>
      <c r="E156">
        <v>1</v>
      </c>
      <c r="F156">
        <v>0</v>
      </c>
      <c r="G156">
        <v>1</v>
      </c>
      <c r="H156">
        <v>0</v>
      </c>
      <c r="I156">
        <v>0</v>
      </c>
      <c r="J156" t="s">
        <v>0</v>
      </c>
    </row>
    <row r="157" spans="1:10" hidden="1" x14ac:dyDescent="0.3">
      <c r="A157">
        <v>34</v>
      </c>
      <c r="B157">
        <v>1300000</v>
      </c>
      <c r="C157">
        <v>6</v>
      </c>
      <c r="D157">
        <v>0</v>
      </c>
      <c r="E157">
        <v>1</v>
      </c>
      <c r="F157">
        <v>0</v>
      </c>
      <c r="G157">
        <v>0</v>
      </c>
      <c r="H157">
        <v>0</v>
      </c>
      <c r="I157">
        <v>1</v>
      </c>
      <c r="J157" t="s">
        <v>0</v>
      </c>
    </row>
    <row r="158" spans="1:10" x14ac:dyDescent="0.3">
      <c r="A158">
        <v>28</v>
      </c>
      <c r="B158">
        <v>900000</v>
      </c>
      <c r="C158">
        <v>4</v>
      </c>
      <c r="D158">
        <v>0</v>
      </c>
      <c r="E158">
        <v>1</v>
      </c>
      <c r="F158">
        <v>0</v>
      </c>
      <c r="G158">
        <v>1</v>
      </c>
      <c r="H158">
        <v>0</v>
      </c>
      <c r="I158">
        <v>0</v>
      </c>
      <c r="J158" t="s">
        <v>0</v>
      </c>
    </row>
    <row r="159" spans="1:10" x14ac:dyDescent="0.3">
      <c r="A159">
        <v>28</v>
      </c>
      <c r="B159">
        <v>600000</v>
      </c>
      <c r="C159">
        <v>3</v>
      </c>
      <c r="D159">
        <v>0</v>
      </c>
      <c r="E159">
        <v>1</v>
      </c>
      <c r="F159">
        <v>1</v>
      </c>
      <c r="G159">
        <v>0</v>
      </c>
      <c r="H159">
        <v>0</v>
      </c>
      <c r="I159">
        <v>0</v>
      </c>
      <c r="J159" t="s">
        <v>0</v>
      </c>
    </row>
    <row r="160" spans="1:10" hidden="1" x14ac:dyDescent="0.3">
      <c r="A160">
        <v>31</v>
      </c>
      <c r="B160">
        <v>1250000</v>
      </c>
      <c r="C160">
        <v>6</v>
      </c>
      <c r="D160">
        <v>0</v>
      </c>
      <c r="E160">
        <v>1</v>
      </c>
      <c r="F160">
        <v>0</v>
      </c>
      <c r="G160">
        <v>1</v>
      </c>
      <c r="H160">
        <v>0</v>
      </c>
      <c r="I160">
        <v>1</v>
      </c>
      <c r="J160" t="s">
        <v>0</v>
      </c>
    </row>
    <row r="161" spans="1:10" x14ac:dyDescent="0.3">
      <c r="A161">
        <v>27</v>
      </c>
      <c r="B161">
        <v>900000</v>
      </c>
      <c r="C161">
        <v>7</v>
      </c>
      <c r="D161">
        <v>1</v>
      </c>
      <c r="E161">
        <v>1</v>
      </c>
      <c r="F161">
        <v>1</v>
      </c>
      <c r="G161">
        <v>0</v>
      </c>
      <c r="H161">
        <v>0</v>
      </c>
      <c r="I161">
        <v>0</v>
      </c>
      <c r="J161" t="s">
        <v>0</v>
      </c>
    </row>
    <row r="162" spans="1:10" hidden="1" x14ac:dyDescent="0.3">
      <c r="A162">
        <v>31</v>
      </c>
      <c r="B162">
        <v>1200000</v>
      </c>
      <c r="C162">
        <v>5</v>
      </c>
      <c r="D162">
        <v>1</v>
      </c>
      <c r="E162">
        <v>1</v>
      </c>
      <c r="F162">
        <v>1</v>
      </c>
      <c r="G162">
        <v>0</v>
      </c>
      <c r="H162">
        <v>0</v>
      </c>
      <c r="I162">
        <v>1</v>
      </c>
      <c r="J162" t="s">
        <v>0</v>
      </c>
    </row>
    <row r="163" spans="1:10" hidden="1" x14ac:dyDescent="0.3">
      <c r="A163">
        <v>34</v>
      </c>
      <c r="B163">
        <v>1400000</v>
      </c>
      <c r="C163">
        <v>3</v>
      </c>
      <c r="D163">
        <v>0</v>
      </c>
      <c r="E163">
        <v>0</v>
      </c>
      <c r="F163">
        <v>1</v>
      </c>
      <c r="G163">
        <v>0</v>
      </c>
      <c r="H163">
        <v>1</v>
      </c>
      <c r="I163">
        <v>1</v>
      </c>
      <c r="J163" t="s">
        <v>0</v>
      </c>
    </row>
    <row r="164" spans="1:10" hidden="1" x14ac:dyDescent="0.3">
      <c r="A164">
        <v>34</v>
      </c>
      <c r="B164">
        <v>500000</v>
      </c>
      <c r="C164">
        <v>7</v>
      </c>
      <c r="D164">
        <v>0</v>
      </c>
      <c r="E164">
        <v>1</v>
      </c>
      <c r="F164">
        <v>0</v>
      </c>
      <c r="G164">
        <v>0</v>
      </c>
      <c r="H164">
        <v>0</v>
      </c>
      <c r="I164">
        <v>1</v>
      </c>
      <c r="J164" t="s">
        <v>0</v>
      </c>
    </row>
    <row r="165" spans="1:10" x14ac:dyDescent="0.3">
      <c r="A165">
        <v>32</v>
      </c>
      <c r="B165">
        <v>350000</v>
      </c>
      <c r="C165">
        <v>5</v>
      </c>
      <c r="D165">
        <v>1</v>
      </c>
      <c r="E165">
        <v>1</v>
      </c>
      <c r="F165">
        <v>0</v>
      </c>
      <c r="G165">
        <v>0</v>
      </c>
      <c r="H165">
        <v>0</v>
      </c>
      <c r="I165">
        <v>0</v>
      </c>
      <c r="J165" t="s">
        <v>0</v>
      </c>
    </row>
    <row r="166" spans="1:10" x14ac:dyDescent="0.3">
      <c r="A166">
        <v>28</v>
      </c>
      <c r="B166">
        <v>300000</v>
      </c>
      <c r="C166">
        <v>6</v>
      </c>
      <c r="D166">
        <v>1</v>
      </c>
      <c r="E166">
        <v>1</v>
      </c>
      <c r="F166">
        <v>0</v>
      </c>
      <c r="G166">
        <v>0</v>
      </c>
      <c r="H166">
        <v>0</v>
      </c>
      <c r="I166">
        <v>0</v>
      </c>
      <c r="J166" t="s">
        <v>0</v>
      </c>
    </row>
    <row r="167" spans="1:10" x14ac:dyDescent="0.3">
      <c r="A167">
        <v>33</v>
      </c>
      <c r="B167">
        <v>1000000</v>
      </c>
      <c r="C167">
        <v>4</v>
      </c>
      <c r="D167">
        <v>1</v>
      </c>
      <c r="E167">
        <v>1</v>
      </c>
      <c r="F167">
        <v>0</v>
      </c>
      <c r="G167">
        <v>0</v>
      </c>
      <c r="H167">
        <v>0</v>
      </c>
      <c r="I167">
        <v>0</v>
      </c>
      <c r="J167" t="s">
        <v>0</v>
      </c>
    </row>
    <row r="168" spans="1:10" x14ac:dyDescent="0.3">
      <c r="A168">
        <v>28</v>
      </c>
      <c r="B168">
        <v>800000</v>
      </c>
      <c r="C168">
        <v>7</v>
      </c>
      <c r="D168">
        <v>0</v>
      </c>
      <c r="E168">
        <v>1</v>
      </c>
      <c r="F168">
        <v>0</v>
      </c>
      <c r="G168">
        <v>0</v>
      </c>
      <c r="H168">
        <v>0</v>
      </c>
      <c r="I168">
        <v>0</v>
      </c>
      <c r="J168" t="s">
        <v>0</v>
      </c>
    </row>
    <row r="169" spans="1:10" x14ac:dyDescent="0.3">
      <c r="A169">
        <v>31</v>
      </c>
      <c r="B169">
        <v>400000</v>
      </c>
      <c r="C169">
        <v>3</v>
      </c>
      <c r="D169">
        <v>1</v>
      </c>
      <c r="E169">
        <v>1</v>
      </c>
      <c r="F169">
        <v>0</v>
      </c>
      <c r="G169">
        <v>0</v>
      </c>
      <c r="H169">
        <v>0</v>
      </c>
      <c r="I169">
        <v>0</v>
      </c>
      <c r="J169" t="s">
        <v>0</v>
      </c>
    </row>
    <row r="170" spans="1:10" x14ac:dyDescent="0.3">
      <c r="A170">
        <v>27</v>
      </c>
      <c r="B170">
        <v>850000</v>
      </c>
      <c r="C170">
        <v>7</v>
      </c>
      <c r="D170">
        <v>1</v>
      </c>
      <c r="E170">
        <v>1</v>
      </c>
      <c r="F170">
        <v>1</v>
      </c>
      <c r="G170">
        <v>0</v>
      </c>
      <c r="H170">
        <v>0</v>
      </c>
      <c r="I170">
        <v>0</v>
      </c>
      <c r="J170" t="s">
        <v>0</v>
      </c>
    </row>
    <row r="171" spans="1:10" x14ac:dyDescent="0.3">
      <c r="A171">
        <v>25</v>
      </c>
      <c r="B171">
        <v>600000</v>
      </c>
      <c r="C171">
        <v>6</v>
      </c>
      <c r="D171">
        <v>0</v>
      </c>
      <c r="E171">
        <v>0</v>
      </c>
      <c r="F171">
        <v>0</v>
      </c>
      <c r="G171">
        <v>0</v>
      </c>
      <c r="H171">
        <v>0</v>
      </c>
      <c r="I171">
        <v>0</v>
      </c>
      <c r="J171" t="s">
        <v>0</v>
      </c>
    </row>
    <row r="172" spans="1:10" hidden="1" x14ac:dyDescent="0.3">
      <c r="A172">
        <v>31</v>
      </c>
      <c r="B172">
        <v>1350000</v>
      </c>
      <c r="C172">
        <v>6</v>
      </c>
      <c r="D172">
        <v>0</v>
      </c>
      <c r="E172">
        <v>1</v>
      </c>
      <c r="F172">
        <v>1</v>
      </c>
      <c r="G172">
        <v>0</v>
      </c>
      <c r="H172">
        <v>1</v>
      </c>
      <c r="I172">
        <v>1</v>
      </c>
      <c r="J172" t="s">
        <v>0</v>
      </c>
    </row>
    <row r="173" spans="1:10" x14ac:dyDescent="0.3">
      <c r="A173">
        <v>28</v>
      </c>
      <c r="B173">
        <v>900000</v>
      </c>
      <c r="C173">
        <v>7</v>
      </c>
      <c r="D173">
        <v>0</v>
      </c>
      <c r="E173">
        <v>1</v>
      </c>
      <c r="F173">
        <v>0</v>
      </c>
      <c r="G173">
        <v>0</v>
      </c>
      <c r="H173">
        <v>0</v>
      </c>
      <c r="I173">
        <v>0</v>
      </c>
      <c r="J173" t="s">
        <v>0</v>
      </c>
    </row>
    <row r="174" spans="1:10" x14ac:dyDescent="0.3">
      <c r="A174">
        <v>27</v>
      </c>
      <c r="B174">
        <v>600000</v>
      </c>
      <c r="C174">
        <v>8</v>
      </c>
      <c r="D174">
        <v>0</v>
      </c>
      <c r="E174">
        <v>0</v>
      </c>
      <c r="F174">
        <v>0</v>
      </c>
      <c r="G174">
        <v>0</v>
      </c>
      <c r="H174">
        <v>0</v>
      </c>
      <c r="I174">
        <v>0</v>
      </c>
      <c r="J174" t="s">
        <v>0</v>
      </c>
    </row>
    <row r="175" spans="1:10" hidden="1" x14ac:dyDescent="0.3">
      <c r="A175">
        <v>26</v>
      </c>
      <c r="B175">
        <v>450000</v>
      </c>
      <c r="C175">
        <v>5</v>
      </c>
      <c r="D175">
        <v>0</v>
      </c>
      <c r="E175">
        <v>1</v>
      </c>
      <c r="F175">
        <v>1</v>
      </c>
      <c r="G175">
        <v>0</v>
      </c>
      <c r="H175">
        <v>0</v>
      </c>
      <c r="I175">
        <v>1</v>
      </c>
      <c r="J175" t="s">
        <v>0</v>
      </c>
    </row>
    <row r="176" spans="1:10" hidden="1" x14ac:dyDescent="0.3">
      <c r="A176">
        <v>34</v>
      </c>
      <c r="B176">
        <v>700000</v>
      </c>
      <c r="C176">
        <v>6</v>
      </c>
      <c r="D176">
        <v>0</v>
      </c>
      <c r="E176">
        <v>1</v>
      </c>
      <c r="F176">
        <v>0</v>
      </c>
      <c r="G176">
        <v>1</v>
      </c>
      <c r="H176">
        <v>0</v>
      </c>
      <c r="I176">
        <v>1</v>
      </c>
      <c r="J176" t="s">
        <v>0</v>
      </c>
    </row>
    <row r="177" spans="1:10" x14ac:dyDescent="0.3">
      <c r="A177">
        <v>30</v>
      </c>
      <c r="B177">
        <v>800000</v>
      </c>
      <c r="C177">
        <v>3</v>
      </c>
      <c r="D177">
        <v>0</v>
      </c>
      <c r="E177">
        <v>0</v>
      </c>
      <c r="F177">
        <v>0</v>
      </c>
      <c r="G177">
        <v>0</v>
      </c>
      <c r="H177">
        <v>0</v>
      </c>
      <c r="I177">
        <v>0</v>
      </c>
      <c r="J177" t="s">
        <v>0</v>
      </c>
    </row>
    <row r="178" spans="1:10" hidden="1" x14ac:dyDescent="0.3">
      <c r="A178">
        <v>34</v>
      </c>
      <c r="B178">
        <v>1050000</v>
      </c>
      <c r="C178">
        <v>6</v>
      </c>
      <c r="D178">
        <v>0</v>
      </c>
      <c r="E178">
        <v>1</v>
      </c>
      <c r="F178">
        <v>0</v>
      </c>
      <c r="G178">
        <v>0</v>
      </c>
      <c r="H178">
        <v>0</v>
      </c>
      <c r="I178">
        <v>1</v>
      </c>
      <c r="J178" t="s">
        <v>0</v>
      </c>
    </row>
    <row r="179" spans="1:10" x14ac:dyDescent="0.3">
      <c r="A179">
        <v>28</v>
      </c>
      <c r="B179">
        <v>1250000</v>
      </c>
      <c r="C179">
        <v>5</v>
      </c>
      <c r="D179">
        <v>0</v>
      </c>
      <c r="E179">
        <v>1</v>
      </c>
      <c r="F179">
        <v>0</v>
      </c>
      <c r="G179">
        <v>0</v>
      </c>
      <c r="H179">
        <v>0</v>
      </c>
      <c r="I179">
        <v>0</v>
      </c>
      <c r="J179" t="s">
        <v>0</v>
      </c>
    </row>
    <row r="180" spans="1:10" x14ac:dyDescent="0.3">
      <c r="A180">
        <v>32</v>
      </c>
      <c r="B180">
        <v>350000</v>
      </c>
      <c r="C180">
        <v>6</v>
      </c>
      <c r="D180">
        <v>1</v>
      </c>
      <c r="E180">
        <v>1</v>
      </c>
      <c r="F180">
        <v>0</v>
      </c>
      <c r="G180">
        <v>0</v>
      </c>
      <c r="H180">
        <v>0</v>
      </c>
      <c r="I180">
        <v>0</v>
      </c>
      <c r="J180" t="s">
        <v>0</v>
      </c>
    </row>
    <row r="181" spans="1:10" x14ac:dyDescent="0.3">
      <c r="A181">
        <v>26</v>
      </c>
      <c r="B181">
        <v>1250000</v>
      </c>
      <c r="C181">
        <v>4</v>
      </c>
      <c r="D181">
        <v>0</v>
      </c>
      <c r="E181">
        <v>1</v>
      </c>
      <c r="F181">
        <v>0</v>
      </c>
      <c r="G181">
        <v>0</v>
      </c>
      <c r="H181">
        <v>0</v>
      </c>
      <c r="I181">
        <v>0</v>
      </c>
      <c r="J181" t="s">
        <v>0</v>
      </c>
    </row>
    <row r="182" spans="1:10" x14ac:dyDescent="0.3">
      <c r="A182">
        <v>28</v>
      </c>
      <c r="B182">
        <v>750000</v>
      </c>
      <c r="C182">
        <v>6</v>
      </c>
      <c r="D182">
        <v>0</v>
      </c>
      <c r="E182">
        <v>1</v>
      </c>
      <c r="F182">
        <v>0</v>
      </c>
      <c r="G182">
        <v>1</v>
      </c>
      <c r="H182">
        <v>0</v>
      </c>
      <c r="I182">
        <v>0</v>
      </c>
      <c r="J182" t="s">
        <v>0</v>
      </c>
    </row>
    <row r="183" spans="1:10" x14ac:dyDescent="0.3">
      <c r="A183">
        <v>26</v>
      </c>
      <c r="B183">
        <v>1300000</v>
      </c>
      <c r="C183">
        <v>3</v>
      </c>
      <c r="D183">
        <v>0</v>
      </c>
      <c r="E183">
        <v>1</v>
      </c>
      <c r="F183">
        <v>0</v>
      </c>
      <c r="G183">
        <v>0</v>
      </c>
      <c r="H183">
        <v>0</v>
      </c>
      <c r="I183">
        <v>0</v>
      </c>
      <c r="J183" t="s">
        <v>0</v>
      </c>
    </row>
    <row r="184" spans="1:10" hidden="1" x14ac:dyDescent="0.3">
      <c r="A184">
        <v>35</v>
      </c>
      <c r="B184">
        <v>800000</v>
      </c>
      <c r="C184">
        <v>3</v>
      </c>
      <c r="D184">
        <v>0</v>
      </c>
      <c r="E184">
        <v>0</v>
      </c>
      <c r="F184">
        <v>0</v>
      </c>
      <c r="G184">
        <v>1</v>
      </c>
      <c r="H184">
        <v>0</v>
      </c>
      <c r="I184">
        <v>1</v>
      </c>
      <c r="J184" t="s">
        <v>0</v>
      </c>
    </row>
    <row r="185" spans="1:10" x14ac:dyDescent="0.3">
      <c r="A185">
        <v>25</v>
      </c>
      <c r="B185">
        <v>1700000</v>
      </c>
      <c r="C185">
        <v>3</v>
      </c>
      <c r="D185">
        <v>0</v>
      </c>
      <c r="E185">
        <v>1</v>
      </c>
      <c r="F185">
        <v>1</v>
      </c>
      <c r="G185">
        <v>1</v>
      </c>
      <c r="H185">
        <v>0</v>
      </c>
      <c r="I185">
        <v>0</v>
      </c>
      <c r="J185" t="s">
        <v>0</v>
      </c>
    </row>
    <row r="186" spans="1:10" x14ac:dyDescent="0.3">
      <c r="A186">
        <v>25</v>
      </c>
      <c r="B186">
        <v>750000</v>
      </c>
      <c r="C186">
        <v>3</v>
      </c>
      <c r="D186">
        <v>1</v>
      </c>
      <c r="E186">
        <v>1</v>
      </c>
      <c r="F186">
        <v>0</v>
      </c>
      <c r="G186">
        <v>0</v>
      </c>
      <c r="H186">
        <v>0</v>
      </c>
      <c r="I186">
        <v>0</v>
      </c>
      <c r="J186" t="s">
        <v>0</v>
      </c>
    </row>
    <row r="187" spans="1:10" hidden="1" x14ac:dyDescent="0.3">
      <c r="A187">
        <v>28</v>
      </c>
      <c r="B187">
        <v>300000</v>
      </c>
      <c r="C187">
        <v>4</v>
      </c>
      <c r="D187">
        <v>1</v>
      </c>
      <c r="E187">
        <v>1</v>
      </c>
      <c r="F187">
        <v>0</v>
      </c>
      <c r="G187">
        <v>0</v>
      </c>
      <c r="H187">
        <v>0</v>
      </c>
      <c r="I187">
        <v>1</v>
      </c>
      <c r="J187" t="s">
        <v>0</v>
      </c>
    </row>
    <row r="188" spans="1:10" hidden="1" x14ac:dyDescent="0.3">
      <c r="A188">
        <v>28</v>
      </c>
      <c r="B188">
        <v>500000</v>
      </c>
      <c r="C188">
        <v>9</v>
      </c>
      <c r="D188">
        <v>0</v>
      </c>
      <c r="E188">
        <v>1</v>
      </c>
      <c r="F188">
        <v>0</v>
      </c>
      <c r="G188">
        <v>0</v>
      </c>
      <c r="H188">
        <v>0</v>
      </c>
      <c r="I188">
        <v>1</v>
      </c>
      <c r="J188" t="s">
        <v>0</v>
      </c>
    </row>
    <row r="189" spans="1:10" x14ac:dyDescent="0.3">
      <c r="A189">
        <v>28</v>
      </c>
      <c r="B189">
        <v>650000</v>
      </c>
      <c r="C189">
        <v>9</v>
      </c>
      <c r="D189">
        <v>0</v>
      </c>
      <c r="E189">
        <v>1</v>
      </c>
      <c r="F189">
        <v>0</v>
      </c>
      <c r="G189">
        <v>0</v>
      </c>
      <c r="H189">
        <v>0</v>
      </c>
      <c r="I189">
        <v>0</v>
      </c>
      <c r="J189" t="s">
        <v>0</v>
      </c>
    </row>
    <row r="190" spans="1:10" x14ac:dyDescent="0.3">
      <c r="A190">
        <v>26</v>
      </c>
      <c r="B190">
        <v>500000</v>
      </c>
      <c r="C190">
        <v>4</v>
      </c>
      <c r="D190">
        <v>1</v>
      </c>
      <c r="E190">
        <v>1</v>
      </c>
      <c r="F190">
        <v>0</v>
      </c>
      <c r="G190">
        <v>0</v>
      </c>
      <c r="H190">
        <v>0</v>
      </c>
      <c r="I190">
        <v>0</v>
      </c>
      <c r="J190" t="s">
        <v>0</v>
      </c>
    </row>
    <row r="191" spans="1:10" hidden="1" x14ac:dyDescent="0.3">
      <c r="A191">
        <v>26</v>
      </c>
      <c r="B191">
        <v>1400000</v>
      </c>
      <c r="C191">
        <v>7</v>
      </c>
      <c r="D191">
        <v>0</v>
      </c>
      <c r="E191">
        <v>1</v>
      </c>
      <c r="F191">
        <v>1</v>
      </c>
      <c r="G191">
        <v>0</v>
      </c>
      <c r="H191">
        <v>1</v>
      </c>
      <c r="I191">
        <v>1</v>
      </c>
      <c r="J191" t="s">
        <v>0</v>
      </c>
    </row>
    <row r="192" spans="1:10" x14ac:dyDescent="0.3">
      <c r="A192">
        <v>27</v>
      </c>
      <c r="B192">
        <v>900000</v>
      </c>
      <c r="C192">
        <v>5</v>
      </c>
      <c r="D192">
        <v>1</v>
      </c>
      <c r="E192">
        <v>1</v>
      </c>
      <c r="F192">
        <v>0</v>
      </c>
      <c r="G192">
        <v>0</v>
      </c>
      <c r="H192">
        <v>0</v>
      </c>
      <c r="I192">
        <v>0</v>
      </c>
      <c r="J192" t="s">
        <v>0</v>
      </c>
    </row>
    <row r="193" spans="1:10" x14ac:dyDescent="0.3">
      <c r="A193">
        <v>30</v>
      </c>
      <c r="B193">
        <v>650000</v>
      </c>
      <c r="C193">
        <v>3</v>
      </c>
      <c r="D193">
        <v>0</v>
      </c>
      <c r="E193">
        <v>0</v>
      </c>
      <c r="F193">
        <v>0</v>
      </c>
      <c r="G193">
        <v>0</v>
      </c>
      <c r="H193">
        <v>1</v>
      </c>
      <c r="I193">
        <v>0</v>
      </c>
      <c r="J193" t="s">
        <v>0</v>
      </c>
    </row>
    <row r="194" spans="1:10" x14ac:dyDescent="0.3">
      <c r="A194">
        <v>28</v>
      </c>
      <c r="B194">
        <v>800000</v>
      </c>
      <c r="C194">
        <v>4</v>
      </c>
      <c r="D194">
        <v>0</v>
      </c>
      <c r="E194">
        <v>1</v>
      </c>
      <c r="F194">
        <v>1</v>
      </c>
      <c r="G194">
        <v>0</v>
      </c>
      <c r="H194">
        <v>1</v>
      </c>
      <c r="I194">
        <v>0</v>
      </c>
      <c r="J194" t="s">
        <v>0</v>
      </c>
    </row>
    <row r="195" spans="1:10" x14ac:dyDescent="0.3">
      <c r="A195">
        <v>34</v>
      </c>
      <c r="B195">
        <v>1300000</v>
      </c>
      <c r="C195">
        <v>5</v>
      </c>
      <c r="D195">
        <v>0</v>
      </c>
      <c r="E195">
        <v>0</v>
      </c>
      <c r="F195">
        <v>1</v>
      </c>
      <c r="G195">
        <v>0</v>
      </c>
      <c r="H195">
        <v>0</v>
      </c>
      <c r="I195">
        <v>0</v>
      </c>
      <c r="J195" t="s">
        <v>0</v>
      </c>
    </row>
    <row r="196" spans="1:10" x14ac:dyDescent="0.3">
      <c r="A196">
        <v>33</v>
      </c>
      <c r="B196">
        <v>1100000</v>
      </c>
      <c r="C196">
        <v>5</v>
      </c>
      <c r="D196">
        <v>1</v>
      </c>
      <c r="E196">
        <v>1</v>
      </c>
      <c r="F196">
        <v>0</v>
      </c>
      <c r="G196">
        <v>0</v>
      </c>
      <c r="H196">
        <v>0</v>
      </c>
      <c r="I196">
        <v>0</v>
      </c>
      <c r="J196" t="s">
        <v>0</v>
      </c>
    </row>
    <row r="197" spans="1:10" hidden="1" x14ac:dyDescent="0.3">
      <c r="A197">
        <v>25</v>
      </c>
      <c r="B197">
        <v>1400000</v>
      </c>
      <c r="C197">
        <v>5</v>
      </c>
      <c r="D197">
        <v>0</v>
      </c>
      <c r="E197">
        <v>1</v>
      </c>
      <c r="F197">
        <v>0</v>
      </c>
      <c r="G197">
        <v>1</v>
      </c>
      <c r="H197">
        <v>1</v>
      </c>
      <c r="I197">
        <v>1</v>
      </c>
      <c r="J197" t="s">
        <v>0</v>
      </c>
    </row>
    <row r="198" spans="1:10" hidden="1" x14ac:dyDescent="0.3">
      <c r="A198">
        <v>34</v>
      </c>
      <c r="B198">
        <v>1000000</v>
      </c>
      <c r="C198">
        <v>7</v>
      </c>
      <c r="D198">
        <v>0</v>
      </c>
      <c r="E198">
        <v>1</v>
      </c>
      <c r="F198">
        <v>0</v>
      </c>
      <c r="G198">
        <v>0</v>
      </c>
      <c r="H198">
        <v>0</v>
      </c>
      <c r="I198">
        <v>1</v>
      </c>
      <c r="J198" t="s">
        <v>0</v>
      </c>
    </row>
    <row r="199" spans="1:10" x14ac:dyDescent="0.3">
      <c r="A199">
        <v>29</v>
      </c>
      <c r="B199">
        <v>1150000</v>
      </c>
      <c r="C199">
        <v>5</v>
      </c>
      <c r="D199">
        <v>0</v>
      </c>
      <c r="E199">
        <v>1</v>
      </c>
      <c r="F199">
        <v>1</v>
      </c>
      <c r="G199">
        <v>1</v>
      </c>
      <c r="H199">
        <v>0</v>
      </c>
      <c r="I199">
        <v>0</v>
      </c>
      <c r="J199" t="s">
        <v>0</v>
      </c>
    </row>
    <row r="200" spans="1:10" hidden="1" x14ac:dyDescent="0.3">
      <c r="A200">
        <v>25</v>
      </c>
      <c r="B200">
        <v>1350000</v>
      </c>
      <c r="C200">
        <v>4</v>
      </c>
      <c r="D200">
        <v>0</v>
      </c>
      <c r="E200">
        <v>0</v>
      </c>
      <c r="F200">
        <v>0</v>
      </c>
      <c r="G200">
        <v>0</v>
      </c>
      <c r="H200">
        <v>1</v>
      </c>
      <c r="I200">
        <v>1</v>
      </c>
      <c r="J200" t="s">
        <v>0</v>
      </c>
    </row>
    <row r="201" spans="1:10" hidden="1" x14ac:dyDescent="0.3">
      <c r="A201">
        <v>30</v>
      </c>
      <c r="B201">
        <v>1450000</v>
      </c>
      <c r="C201">
        <v>5</v>
      </c>
      <c r="D201">
        <v>0</v>
      </c>
      <c r="E201">
        <v>0</v>
      </c>
      <c r="F201">
        <v>0</v>
      </c>
      <c r="G201">
        <v>1</v>
      </c>
      <c r="H201">
        <v>1</v>
      </c>
      <c r="I201">
        <v>1</v>
      </c>
      <c r="J201" t="s">
        <v>0</v>
      </c>
    </row>
    <row r="202" spans="1:10" hidden="1" x14ac:dyDescent="0.3">
      <c r="A202">
        <v>27</v>
      </c>
      <c r="B202">
        <v>1050000</v>
      </c>
      <c r="C202">
        <v>4</v>
      </c>
      <c r="D202">
        <v>1</v>
      </c>
      <c r="E202">
        <v>1</v>
      </c>
      <c r="F202">
        <v>0</v>
      </c>
      <c r="G202">
        <v>0</v>
      </c>
      <c r="H202">
        <v>0</v>
      </c>
      <c r="I202">
        <v>1</v>
      </c>
      <c r="J202" t="s">
        <v>0</v>
      </c>
    </row>
    <row r="203" spans="1:10" hidden="1" x14ac:dyDescent="0.3">
      <c r="A203">
        <v>31</v>
      </c>
      <c r="B203">
        <v>1400000</v>
      </c>
      <c r="C203">
        <v>2</v>
      </c>
      <c r="D203">
        <v>0</v>
      </c>
      <c r="E203">
        <v>1</v>
      </c>
      <c r="F203">
        <v>0</v>
      </c>
      <c r="G203">
        <v>0</v>
      </c>
      <c r="H203">
        <v>1</v>
      </c>
      <c r="I203">
        <v>1</v>
      </c>
      <c r="J203" t="s">
        <v>0</v>
      </c>
    </row>
    <row r="204" spans="1:10" hidden="1" x14ac:dyDescent="0.3">
      <c r="A204">
        <v>28</v>
      </c>
      <c r="B204">
        <v>600000</v>
      </c>
      <c r="C204">
        <v>7</v>
      </c>
      <c r="D204">
        <v>0</v>
      </c>
      <c r="E204">
        <v>1</v>
      </c>
      <c r="F204">
        <v>0</v>
      </c>
      <c r="G204">
        <v>0</v>
      </c>
      <c r="H204">
        <v>0</v>
      </c>
      <c r="I204">
        <v>1</v>
      </c>
      <c r="J204" t="s">
        <v>0</v>
      </c>
    </row>
    <row r="205" spans="1:10" x14ac:dyDescent="0.3">
      <c r="A205">
        <v>28</v>
      </c>
      <c r="B205">
        <v>1100000</v>
      </c>
      <c r="C205">
        <v>4</v>
      </c>
      <c r="D205">
        <v>0</v>
      </c>
      <c r="E205">
        <v>1</v>
      </c>
      <c r="F205">
        <v>1</v>
      </c>
      <c r="G205">
        <v>0</v>
      </c>
      <c r="H205">
        <v>0</v>
      </c>
      <c r="I205">
        <v>0</v>
      </c>
      <c r="J205" t="s">
        <v>0</v>
      </c>
    </row>
    <row r="206" spans="1:10" x14ac:dyDescent="0.3">
      <c r="A206">
        <v>32</v>
      </c>
      <c r="B206">
        <v>900000</v>
      </c>
      <c r="C206">
        <v>4</v>
      </c>
      <c r="D206">
        <v>1</v>
      </c>
      <c r="E206">
        <v>1</v>
      </c>
      <c r="F206">
        <v>0</v>
      </c>
      <c r="G206">
        <v>1</v>
      </c>
      <c r="H206">
        <v>0</v>
      </c>
      <c r="I206">
        <v>0</v>
      </c>
      <c r="J206" t="s">
        <v>0</v>
      </c>
    </row>
    <row r="207" spans="1:10" x14ac:dyDescent="0.3">
      <c r="A207">
        <v>29</v>
      </c>
      <c r="B207">
        <v>1150000</v>
      </c>
      <c r="C207">
        <v>4</v>
      </c>
      <c r="D207">
        <v>0</v>
      </c>
      <c r="E207">
        <v>1</v>
      </c>
      <c r="F207">
        <v>1</v>
      </c>
      <c r="G207">
        <v>0</v>
      </c>
      <c r="H207">
        <v>1</v>
      </c>
      <c r="I207">
        <v>0</v>
      </c>
      <c r="J207" t="s">
        <v>0</v>
      </c>
    </row>
    <row r="208" spans="1:10" hidden="1" x14ac:dyDescent="0.3">
      <c r="A208">
        <v>25</v>
      </c>
      <c r="B208">
        <v>1150000</v>
      </c>
      <c r="C208">
        <v>5</v>
      </c>
      <c r="D208">
        <v>0</v>
      </c>
      <c r="E208">
        <v>0</v>
      </c>
      <c r="F208">
        <v>1</v>
      </c>
      <c r="G208">
        <v>0</v>
      </c>
      <c r="H208">
        <v>0</v>
      </c>
      <c r="I208">
        <v>1</v>
      </c>
      <c r="J208" t="s">
        <v>0</v>
      </c>
    </row>
    <row r="209" spans="1:10" x14ac:dyDescent="0.3">
      <c r="A209">
        <v>31</v>
      </c>
      <c r="B209">
        <v>350000</v>
      </c>
      <c r="C209">
        <v>3</v>
      </c>
      <c r="D209">
        <v>1</v>
      </c>
      <c r="E209">
        <v>0</v>
      </c>
      <c r="F209">
        <v>0</v>
      </c>
      <c r="G209">
        <v>0</v>
      </c>
      <c r="H209">
        <v>0</v>
      </c>
      <c r="I209">
        <v>0</v>
      </c>
      <c r="J209" t="s">
        <v>0</v>
      </c>
    </row>
    <row r="210" spans="1:10" hidden="1" x14ac:dyDescent="0.3">
      <c r="A210">
        <v>29</v>
      </c>
      <c r="B210">
        <v>1350000</v>
      </c>
      <c r="C210">
        <v>4</v>
      </c>
      <c r="D210">
        <v>0</v>
      </c>
      <c r="E210">
        <v>1</v>
      </c>
      <c r="F210">
        <v>0</v>
      </c>
      <c r="G210">
        <v>0</v>
      </c>
      <c r="H210">
        <v>1</v>
      </c>
      <c r="I210">
        <v>1</v>
      </c>
      <c r="J210" t="s">
        <v>0</v>
      </c>
    </row>
    <row r="211" spans="1:10" x14ac:dyDescent="0.3">
      <c r="A211">
        <v>25</v>
      </c>
      <c r="B211">
        <v>1700000</v>
      </c>
      <c r="C211">
        <v>3</v>
      </c>
      <c r="D211">
        <v>0</v>
      </c>
      <c r="E211">
        <v>0</v>
      </c>
      <c r="F211">
        <v>1</v>
      </c>
      <c r="G211">
        <v>1</v>
      </c>
      <c r="H211">
        <v>0</v>
      </c>
      <c r="I211">
        <v>0</v>
      </c>
      <c r="J211" t="s">
        <v>0</v>
      </c>
    </row>
    <row r="212" spans="1:10" x14ac:dyDescent="0.3">
      <c r="A212">
        <v>28</v>
      </c>
      <c r="B212">
        <v>1200000</v>
      </c>
      <c r="C212">
        <v>5</v>
      </c>
      <c r="D212">
        <v>0</v>
      </c>
      <c r="E212">
        <v>1</v>
      </c>
      <c r="F212">
        <v>1</v>
      </c>
      <c r="G212">
        <v>1</v>
      </c>
      <c r="H212">
        <v>0</v>
      </c>
      <c r="I212">
        <v>0</v>
      </c>
      <c r="J212" t="s">
        <v>0</v>
      </c>
    </row>
    <row r="213" spans="1:10" x14ac:dyDescent="0.3">
      <c r="A213">
        <v>27</v>
      </c>
      <c r="B213">
        <v>450000</v>
      </c>
      <c r="C213">
        <v>5</v>
      </c>
      <c r="D213">
        <v>0</v>
      </c>
      <c r="E213">
        <v>0</v>
      </c>
      <c r="F213">
        <v>0</v>
      </c>
      <c r="G213">
        <v>0</v>
      </c>
      <c r="H213">
        <v>0</v>
      </c>
      <c r="I213">
        <v>0</v>
      </c>
      <c r="J213" t="s">
        <v>0</v>
      </c>
    </row>
    <row r="214" spans="1:10" x14ac:dyDescent="0.3">
      <c r="A214">
        <v>28</v>
      </c>
      <c r="B214">
        <v>750000</v>
      </c>
      <c r="C214">
        <v>5</v>
      </c>
      <c r="D214">
        <v>0</v>
      </c>
      <c r="E214">
        <v>1</v>
      </c>
      <c r="F214">
        <v>1</v>
      </c>
      <c r="G214">
        <v>0</v>
      </c>
      <c r="H214">
        <v>0</v>
      </c>
      <c r="I214">
        <v>0</v>
      </c>
      <c r="J214" t="s">
        <v>0</v>
      </c>
    </row>
    <row r="215" spans="1:10" hidden="1" x14ac:dyDescent="0.3">
      <c r="A215">
        <v>26</v>
      </c>
      <c r="B215">
        <v>1400000</v>
      </c>
      <c r="C215">
        <v>5</v>
      </c>
      <c r="D215">
        <v>0</v>
      </c>
      <c r="E215">
        <v>1</v>
      </c>
      <c r="F215">
        <v>0</v>
      </c>
      <c r="G215">
        <v>1</v>
      </c>
      <c r="H215">
        <v>1</v>
      </c>
      <c r="I215">
        <v>1</v>
      </c>
      <c r="J215" t="s">
        <v>0</v>
      </c>
    </row>
    <row r="216" spans="1:10" x14ac:dyDescent="0.3">
      <c r="A216">
        <v>27</v>
      </c>
      <c r="B216">
        <v>850000</v>
      </c>
      <c r="C216">
        <v>5</v>
      </c>
      <c r="D216">
        <v>1</v>
      </c>
      <c r="E216">
        <v>1</v>
      </c>
      <c r="F216">
        <v>1</v>
      </c>
      <c r="G216">
        <v>0</v>
      </c>
      <c r="H216">
        <v>1</v>
      </c>
      <c r="I216">
        <v>0</v>
      </c>
      <c r="J216" t="s">
        <v>0</v>
      </c>
    </row>
    <row r="217" spans="1:10" x14ac:dyDescent="0.3">
      <c r="A217">
        <v>33</v>
      </c>
      <c r="B217">
        <v>1100000</v>
      </c>
      <c r="C217">
        <v>5</v>
      </c>
      <c r="D217">
        <v>1</v>
      </c>
      <c r="E217">
        <v>1</v>
      </c>
      <c r="F217">
        <v>0</v>
      </c>
      <c r="G217">
        <v>0</v>
      </c>
      <c r="H217">
        <v>0</v>
      </c>
      <c r="I217">
        <v>0</v>
      </c>
      <c r="J217" t="s">
        <v>0</v>
      </c>
    </row>
    <row r="218" spans="1:10" hidden="1" x14ac:dyDescent="0.3">
      <c r="A218">
        <v>34</v>
      </c>
      <c r="B218">
        <v>1050000</v>
      </c>
      <c r="C218">
        <v>8</v>
      </c>
      <c r="D218">
        <v>0</v>
      </c>
      <c r="E218">
        <v>1</v>
      </c>
      <c r="F218">
        <v>0</v>
      </c>
      <c r="G218">
        <v>0</v>
      </c>
      <c r="H218">
        <v>0</v>
      </c>
      <c r="I218">
        <v>1</v>
      </c>
      <c r="J218" t="s">
        <v>0</v>
      </c>
    </row>
    <row r="219" spans="1:10" x14ac:dyDescent="0.3">
      <c r="A219">
        <v>28</v>
      </c>
      <c r="B219">
        <v>800000</v>
      </c>
      <c r="C219">
        <v>6</v>
      </c>
      <c r="D219">
        <v>0</v>
      </c>
      <c r="E219">
        <v>1</v>
      </c>
      <c r="F219">
        <v>0</v>
      </c>
      <c r="G219">
        <v>0</v>
      </c>
      <c r="H219">
        <v>0</v>
      </c>
      <c r="I219">
        <v>0</v>
      </c>
      <c r="J219" t="s">
        <v>0</v>
      </c>
    </row>
    <row r="220" spans="1:10" x14ac:dyDescent="0.3">
      <c r="A220">
        <v>26</v>
      </c>
      <c r="B220">
        <v>1500000</v>
      </c>
      <c r="C220">
        <v>7</v>
      </c>
      <c r="D220">
        <v>0</v>
      </c>
      <c r="E220">
        <v>1</v>
      </c>
      <c r="F220">
        <v>0</v>
      </c>
      <c r="G220">
        <v>1</v>
      </c>
      <c r="H220">
        <v>1</v>
      </c>
      <c r="I220">
        <v>0</v>
      </c>
      <c r="J220" t="s">
        <v>0</v>
      </c>
    </row>
    <row r="221" spans="1:10" x14ac:dyDescent="0.3">
      <c r="A221">
        <v>31</v>
      </c>
      <c r="B221">
        <v>1250000</v>
      </c>
      <c r="C221">
        <v>9</v>
      </c>
      <c r="D221">
        <v>0</v>
      </c>
      <c r="E221">
        <v>1</v>
      </c>
      <c r="F221">
        <v>1</v>
      </c>
      <c r="G221">
        <v>0</v>
      </c>
      <c r="H221">
        <v>0</v>
      </c>
      <c r="I221">
        <v>0</v>
      </c>
      <c r="J221" t="s">
        <v>0</v>
      </c>
    </row>
    <row r="222" spans="1:10" x14ac:dyDescent="0.3">
      <c r="A222">
        <v>35</v>
      </c>
      <c r="B222">
        <v>800000</v>
      </c>
      <c r="C222">
        <v>2</v>
      </c>
      <c r="D222">
        <v>0</v>
      </c>
      <c r="E222">
        <v>0</v>
      </c>
      <c r="F222">
        <v>0</v>
      </c>
      <c r="G222">
        <v>0</v>
      </c>
      <c r="H222">
        <v>0</v>
      </c>
      <c r="I222">
        <v>0</v>
      </c>
      <c r="J222" t="s">
        <v>0</v>
      </c>
    </row>
    <row r="223" spans="1:10" x14ac:dyDescent="0.3">
      <c r="A223">
        <v>28</v>
      </c>
      <c r="B223">
        <v>1200000</v>
      </c>
      <c r="C223">
        <v>6</v>
      </c>
      <c r="D223">
        <v>0</v>
      </c>
      <c r="E223">
        <v>1</v>
      </c>
      <c r="F223">
        <v>1</v>
      </c>
      <c r="G223">
        <v>0</v>
      </c>
      <c r="H223">
        <v>0</v>
      </c>
      <c r="I223">
        <v>0</v>
      </c>
      <c r="J223" t="s">
        <v>0</v>
      </c>
    </row>
    <row r="224" spans="1:10" x14ac:dyDescent="0.3">
      <c r="A224">
        <v>28</v>
      </c>
      <c r="B224">
        <v>1200000</v>
      </c>
      <c r="C224">
        <v>3</v>
      </c>
      <c r="D224">
        <v>0</v>
      </c>
      <c r="E224">
        <v>1</v>
      </c>
      <c r="F224">
        <v>0</v>
      </c>
      <c r="G224">
        <v>0</v>
      </c>
      <c r="H224">
        <v>0</v>
      </c>
      <c r="I224">
        <v>0</v>
      </c>
      <c r="J224" t="s">
        <v>0</v>
      </c>
    </row>
    <row r="225" spans="1:10" x14ac:dyDescent="0.3">
      <c r="A225">
        <v>30</v>
      </c>
      <c r="B225">
        <v>650000</v>
      </c>
      <c r="C225">
        <v>3</v>
      </c>
      <c r="D225">
        <v>0</v>
      </c>
      <c r="E225">
        <v>0</v>
      </c>
      <c r="F225">
        <v>0</v>
      </c>
      <c r="G225">
        <v>0</v>
      </c>
      <c r="H225">
        <v>0</v>
      </c>
      <c r="I225">
        <v>0</v>
      </c>
      <c r="J225" t="s">
        <v>0</v>
      </c>
    </row>
    <row r="226" spans="1:10" x14ac:dyDescent="0.3">
      <c r="A226">
        <v>31</v>
      </c>
      <c r="B226">
        <v>1100000</v>
      </c>
      <c r="C226">
        <v>5</v>
      </c>
      <c r="D226">
        <v>0</v>
      </c>
      <c r="E226">
        <v>1</v>
      </c>
      <c r="F226">
        <v>0</v>
      </c>
      <c r="G226">
        <v>1</v>
      </c>
      <c r="H226">
        <v>0</v>
      </c>
      <c r="I226">
        <v>0</v>
      </c>
      <c r="J226" t="s">
        <v>0</v>
      </c>
    </row>
    <row r="227" spans="1:10" x14ac:dyDescent="0.3">
      <c r="A227">
        <v>31</v>
      </c>
      <c r="B227">
        <v>1250000</v>
      </c>
      <c r="C227">
        <v>2</v>
      </c>
      <c r="D227">
        <v>0</v>
      </c>
      <c r="E227">
        <v>1</v>
      </c>
      <c r="F227">
        <v>0</v>
      </c>
      <c r="G227">
        <v>0</v>
      </c>
      <c r="H227">
        <v>0</v>
      </c>
      <c r="I227">
        <v>0</v>
      </c>
      <c r="J227" t="s">
        <v>0</v>
      </c>
    </row>
    <row r="228" spans="1:10" hidden="1" x14ac:dyDescent="0.3">
      <c r="A228">
        <v>34</v>
      </c>
      <c r="B228">
        <v>1300000</v>
      </c>
      <c r="C228">
        <v>9</v>
      </c>
      <c r="D228">
        <v>1</v>
      </c>
      <c r="E228">
        <v>1</v>
      </c>
      <c r="F228">
        <v>1</v>
      </c>
      <c r="G228">
        <v>0</v>
      </c>
      <c r="H228">
        <v>0</v>
      </c>
      <c r="I228">
        <v>1</v>
      </c>
      <c r="J228" t="s">
        <v>0</v>
      </c>
    </row>
    <row r="229" spans="1:10" x14ac:dyDescent="0.3">
      <c r="A229">
        <v>34</v>
      </c>
      <c r="B229">
        <v>1300000</v>
      </c>
      <c r="C229">
        <v>6</v>
      </c>
      <c r="D229">
        <v>0</v>
      </c>
      <c r="E229">
        <v>1</v>
      </c>
      <c r="F229">
        <v>1</v>
      </c>
      <c r="G229">
        <v>0</v>
      </c>
      <c r="H229">
        <v>0</v>
      </c>
      <c r="I229">
        <v>0</v>
      </c>
      <c r="J229" t="s">
        <v>0</v>
      </c>
    </row>
    <row r="230" spans="1:10" x14ac:dyDescent="0.3">
      <c r="A230">
        <v>34</v>
      </c>
      <c r="B230">
        <v>1000000</v>
      </c>
      <c r="C230">
        <v>5</v>
      </c>
      <c r="D230">
        <v>0</v>
      </c>
      <c r="E230">
        <v>1</v>
      </c>
      <c r="F230">
        <v>0</v>
      </c>
      <c r="G230">
        <v>0</v>
      </c>
      <c r="H230">
        <v>0</v>
      </c>
      <c r="I230">
        <v>0</v>
      </c>
      <c r="J230" t="s">
        <v>0</v>
      </c>
    </row>
    <row r="231" spans="1:10" x14ac:dyDescent="0.3">
      <c r="A231">
        <v>34</v>
      </c>
      <c r="B231">
        <v>1000000</v>
      </c>
      <c r="C231">
        <v>2</v>
      </c>
      <c r="D231">
        <v>0</v>
      </c>
      <c r="E231">
        <v>1</v>
      </c>
      <c r="F231">
        <v>0</v>
      </c>
      <c r="G231">
        <v>0</v>
      </c>
      <c r="H231">
        <v>0</v>
      </c>
      <c r="I231">
        <v>0</v>
      </c>
      <c r="J231" t="s">
        <v>0</v>
      </c>
    </row>
    <row r="232" spans="1:10" x14ac:dyDescent="0.3">
      <c r="A232">
        <v>29</v>
      </c>
      <c r="B232">
        <v>900000</v>
      </c>
      <c r="C232">
        <v>7</v>
      </c>
      <c r="D232">
        <v>0</v>
      </c>
      <c r="E232">
        <v>1</v>
      </c>
      <c r="F232">
        <v>0</v>
      </c>
      <c r="G232">
        <v>1</v>
      </c>
      <c r="H232">
        <v>0</v>
      </c>
      <c r="I232">
        <v>0</v>
      </c>
      <c r="J232" t="s">
        <v>0</v>
      </c>
    </row>
    <row r="233" spans="1:10" x14ac:dyDescent="0.3">
      <c r="A233">
        <v>31</v>
      </c>
      <c r="B233">
        <v>1200000</v>
      </c>
      <c r="C233">
        <v>5</v>
      </c>
      <c r="D233">
        <v>1</v>
      </c>
      <c r="E233">
        <v>1</v>
      </c>
      <c r="F233">
        <v>1</v>
      </c>
      <c r="G233">
        <v>0</v>
      </c>
      <c r="H233">
        <v>0</v>
      </c>
      <c r="I233">
        <v>0</v>
      </c>
      <c r="J233" t="s">
        <v>0</v>
      </c>
    </row>
    <row r="234" spans="1:10" x14ac:dyDescent="0.3">
      <c r="A234">
        <v>28</v>
      </c>
      <c r="B234">
        <v>1250000</v>
      </c>
      <c r="C234">
        <v>6</v>
      </c>
      <c r="D234">
        <v>0</v>
      </c>
      <c r="E234">
        <v>1</v>
      </c>
      <c r="F234">
        <v>0</v>
      </c>
      <c r="G234">
        <v>0</v>
      </c>
      <c r="H234">
        <v>0</v>
      </c>
      <c r="I234">
        <v>0</v>
      </c>
      <c r="J234" t="s">
        <v>0</v>
      </c>
    </row>
    <row r="235" spans="1:10" x14ac:dyDescent="0.3">
      <c r="A235">
        <v>31</v>
      </c>
      <c r="B235">
        <v>1200000</v>
      </c>
      <c r="C235">
        <v>6</v>
      </c>
      <c r="D235">
        <v>1</v>
      </c>
      <c r="E235">
        <v>1</v>
      </c>
      <c r="F235">
        <v>1</v>
      </c>
      <c r="G235">
        <v>0</v>
      </c>
      <c r="H235">
        <v>0</v>
      </c>
      <c r="I235">
        <v>0</v>
      </c>
      <c r="J235" t="s">
        <v>0</v>
      </c>
    </row>
    <row r="236" spans="1:10" x14ac:dyDescent="0.3">
      <c r="A236">
        <v>34</v>
      </c>
      <c r="B236">
        <v>1300000</v>
      </c>
      <c r="C236">
        <v>4</v>
      </c>
      <c r="D236">
        <v>0</v>
      </c>
      <c r="E236">
        <v>1</v>
      </c>
      <c r="F236">
        <v>0</v>
      </c>
      <c r="G236">
        <v>0</v>
      </c>
      <c r="H236">
        <v>0</v>
      </c>
      <c r="I236">
        <v>0</v>
      </c>
      <c r="J236" t="s">
        <v>0</v>
      </c>
    </row>
    <row r="237" spans="1:10" x14ac:dyDescent="0.3">
      <c r="A237">
        <v>30</v>
      </c>
      <c r="B237">
        <v>550000</v>
      </c>
      <c r="C237">
        <v>4</v>
      </c>
      <c r="D237">
        <v>0</v>
      </c>
      <c r="E237">
        <v>0</v>
      </c>
      <c r="F237">
        <v>0</v>
      </c>
      <c r="G237">
        <v>0</v>
      </c>
      <c r="H237">
        <v>0</v>
      </c>
      <c r="I237">
        <v>0</v>
      </c>
      <c r="J237" t="s">
        <v>0</v>
      </c>
    </row>
    <row r="238" spans="1:10" hidden="1" x14ac:dyDescent="0.3">
      <c r="A238">
        <v>26</v>
      </c>
      <c r="B238">
        <v>1500000</v>
      </c>
      <c r="C238">
        <v>5</v>
      </c>
      <c r="D238">
        <v>0</v>
      </c>
      <c r="E238">
        <v>1</v>
      </c>
      <c r="F238">
        <v>0</v>
      </c>
      <c r="G238">
        <v>1</v>
      </c>
      <c r="H238">
        <v>1</v>
      </c>
      <c r="I238">
        <v>1</v>
      </c>
      <c r="J238" t="s">
        <v>0</v>
      </c>
    </row>
    <row r="239" spans="1:10" x14ac:dyDescent="0.3">
      <c r="A239">
        <v>30</v>
      </c>
      <c r="B239">
        <v>500000</v>
      </c>
      <c r="C239">
        <v>8</v>
      </c>
      <c r="D239">
        <v>0</v>
      </c>
      <c r="E239">
        <v>0</v>
      </c>
      <c r="F239">
        <v>0</v>
      </c>
      <c r="G239">
        <v>0</v>
      </c>
      <c r="H239">
        <v>0</v>
      </c>
      <c r="I239">
        <v>0</v>
      </c>
      <c r="J239" t="s">
        <v>0</v>
      </c>
    </row>
    <row r="240" spans="1:10" x14ac:dyDescent="0.3">
      <c r="A240">
        <v>29</v>
      </c>
      <c r="B240">
        <v>600000</v>
      </c>
      <c r="C240">
        <v>3</v>
      </c>
      <c r="D240">
        <v>0</v>
      </c>
      <c r="E240">
        <v>1</v>
      </c>
      <c r="F240">
        <v>1</v>
      </c>
      <c r="G240">
        <v>0</v>
      </c>
      <c r="H240">
        <v>0</v>
      </c>
      <c r="I240">
        <v>0</v>
      </c>
      <c r="J240" t="s">
        <v>0</v>
      </c>
    </row>
    <row r="241" spans="1:10" x14ac:dyDescent="0.3">
      <c r="A241">
        <v>26</v>
      </c>
      <c r="B241">
        <v>1250000</v>
      </c>
      <c r="C241">
        <v>5</v>
      </c>
      <c r="D241">
        <v>0</v>
      </c>
      <c r="E241">
        <v>1</v>
      </c>
      <c r="F241">
        <v>0</v>
      </c>
      <c r="G241">
        <v>0</v>
      </c>
      <c r="H241">
        <v>0</v>
      </c>
      <c r="I241">
        <v>0</v>
      </c>
      <c r="J241" t="s">
        <v>0</v>
      </c>
    </row>
    <row r="242" spans="1:10" x14ac:dyDescent="0.3">
      <c r="A242">
        <v>27</v>
      </c>
      <c r="B242">
        <v>350000</v>
      </c>
      <c r="C242">
        <v>7</v>
      </c>
      <c r="D242">
        <v>0</v>
      </c>
      <c r="E242">
        <v>0</v>
      </c>
      <c r="F242">
        <v>0</v>
      </c>
      <c r="G242">
        <v>0</v>
      </c>
      <c r="H242">
        <v>0</v>
      </c>
      <c r="I242">
        <v>0</v>
      </c>
      <c r="J242" t="s">
        <v>0</v>
      </c>
    </row>
    <row r="243" spans="1:10" hidden="1" x14ac:dyDescent="0.3">
      <c r="A243">
        <v>35</v>
      </c>
      <c r="B243">
        <v>800000</v>
      </c>
      <c r="C243">
        <v>6</v>
      </c>
      <c r="D243">
        <v>0</v>
      </c>
      <c r="E243">
        <v>0</v>
      </c>
      <c r="F243">
        <v>0</v>
      </c>
      <c r="G243">
        <v>0</v>
      </c>
      <c r="H243">
        <v>0</v>
      </c>
      <c r="I243">
        <v>1</v>
      </c>
      <c r="J243" t="s">
        <v>0</v>
      </c>
    </row>
    <row r="244" spans="1:10" x14ac:dyDescent="0.3">
      <c r="A244">
        <v>33</v>
      </c>
      <c r="B244">
        <v>400000</v>
      </c>
      <c r="C244">
        <v>4</v>
      </c>
      <c r="D244">
        <v>1</v>
      </c>
      <c r="E244">
        <v>1</v>
      </c>
      <c r="F244">
        <v>0</v>
      </c>
      <c r="G244">
        <v>0</v>
      </c>
      <c r="H244">
        <v>0</v>
      </c>
      <c r="I244">
        <v>0</v>
      </c>
      <c r="J244" t="s">
        <v>0</v>
      </c>
    </row>
    <row r="245" spans="1:10" x14ac:dyDescent="0.3">
      <c r="A245">
        <v>26</v>
      </c>
      <c r="B245">
        <v>750000</v>
      </c>
      <c r="C245">
        <v>6</v>
      </c>
      <c r="D245">
        <v>0</v>
      </c>
      <c r="E245">
        <v>1</v>
      </c>
      <c r="F245">
        <v>0</v>
      </c>
      <c r="G245">
        <v>0</v>
      </c>
      <c r="H245">
        <v>0</v>
      </c>
      <c r="I245">
        <v>0</v>
      </c>
      <c r="J245" t="s">
        <v>0</v>
      </c>
    </row>
    <row r="246" spans="1:10" x14ac:dyDescent="0.3">
      <c r="A246">
        <v>27</v>
      </c>
      <c r="B246">
        <v>500000</v>
      </c>
      <c r="C246">
        <v>4</v>
      </c>
      <c r="D246">
        <v>1</v>
      </c>
      <c r="E246">
        <v>1</v>
      </c>
      <c r="F246">
        <v>0</v>
      </c>
      <c r="G246">
        <v>0</v>
      </c>
      <c r="H246">
        <v>0</v>
      </c>
      <c r="I246">
        <v>0</v>
      </c>
      <c r="J246" t="s">
        <v>0</v>
      </c>
    </row>
    <row r="247" spans="1:10" x14ac:dyDescent="0.3">
      <c r="A247">
        <v>28</v>
      </c>
      <c r="B247">
        <v>1150000</v>
      </c>
      <c r="C247">
        <v>3</v>
      </c>
      <c r="D247">
        <v>0</v>
      </c>
      <c r="E247">
        <v>1</v>
      </c>
      <c r="F247">
        <v>0</v>
      </c>
      <c r="G247">
        <v>0</v>
      </c>
      <c r="H247">
        <v>0</v>
      </c>
      <c r="I247">
        <v>0</v>
      </c>
      <c r="J247" t="s">
        <v>0</v>
      </c>
    </row>
    <row r="248" spans="1:10" x14ac:dyDescent="0.3">
      <c r="A248">
        <v>31</v>
      </c>
      <c r="B248">
        <v>350000</v>
      </c>
      <c r="C248">
        <v>6</v>
      </c>
      <c r="D248">
        <v>1</v>
      </c>
      <c r="E248">
        <v>0</v>
      </c>
      <c r="F248">
        <v>1</v>
      </c>
      <c r="G248">
        <v>0</v>
      </c>
      <c r="H248">
        <v>0</v>
      </c>
      <c r="I248">
        <v>0</v>
      </c>
      <c r="J248" t="s">
        <v>0</v>
      </c>
    </row>
    <row r="249" spans="1:10" hidden="1" x14ac:dyDescent="0.3">
      <c r="A249">
        <v>27</v>
      </c>
      <c r="B249">
        <v>1050000</v>
      </c>
      <c r="C249">
        <v>3</v>
      </c>
      <c r="D249">
        <v>1</v>
      </c>
      <c r="E249">
        <v>1</v>
      </c>
      <c r="F249">
        <v>0</v>
      </c>
      <c r="G249">
        <v>1</v>
      </c>
      <c r="H249">
        <v>0</v>
      </c>
      <c r="I249">
        <v>1</v>
      </c>
      <c r="J249" t="s">
        <v>0</v>
      </c>
    </row>
    <row r="250" spans="1:10" hidden="1" x14ac:dyDescent="0.3">
      <c r="A250">
        <v>34</v>
      </c>
      <c r="B250">
        <v>1300000</v>
      </c>
      <c r="C250">
        <v>6</v>
      </c>
      <c r="D250">
        <v>1</v>
      </c>
      <c r="E250">
        <v>1</v>
      </c>
      <c r="F250">
        <v>0</v>
      </c>
      <c r="G250">
        <v>0</v>
      </c>
      <c r="H250">
        <v>0</v>
      </c>
      <c r="I250">
        <v>1</v>
      </c>
      <c r="J250" t="s">
        <v>0</v>
      </c>
    </row>
    <row r="251" spans="1:10" x14ac:dyDescent="0.3">
      <c r="A251">
        <v>28</v>
      </c>
      <c r="B251">
        <v>1150000</v>
      </c>
      <c r="C251">
        <v>5</v>
      </c>
      <c r="D251">
        <v>0</v>
      </c>
      <c r="E251">
        <v>1</v>
      </c>
      <c r="F251">
        <v>0</v>
      </c>
      <c r="G251">
        <v>0</v>
      </c>
      <c r="H251">
        <v>0</v>
      </c>
      <c r="I251">
        <v>0</v>
      </c>
      <c r="J251" t="s">
        <v>0</v>
      </c>
    </row>
    <row r="252" spans="1:10" hidden="1" x14ac:dyDescent="0.3">
      <c r="A252">
        <v>34</v>
      </c>
      <c r="B252">
        <v>1000000</v>
      </c>
      <c r="C252">
        <v>6</v>
      </c>
      <c r="D252">
        <v>0</v>
      </c>
      <c r="E252">
        <v>1</v>
      </c>
      <c r="F252">
        <v>1</v>
      </c>
      <c r="G252">
        <v>0</v>
      </c>
      <c r="H252">
        <v>0</v>
      </c>
      <c r="I252">
        <v>1</v>
      </c>
      <c r="J252" t="s">
        <v>0</v>
      </c>
    </row>
    <row r="253" spans="1:10" x14ac:dyDescent="0.3">
      <c r="A253">
        <v>28</v>
      </c>
      <c r="B253">
        <v>300000</v>
      </c>
      <c r="C253">
        <v>5</v>
      </c>
      <c r="D253">
        <v>1</v>
      </c>
      <c r="E253">
        <v>1</v>
      </c>
      <c r="F253">
        <v>0</v>
      </c>
      <c r="G253">
        <v>0</v>
      </c>
      <c r="H253">
        <v>0</v>
      </c>
      <c r="I253">
        <v>0</v>
      </c>
      <c r="J253" t="s">
        <v>0</v>
      </c>
    </row>
    <row r="254" spans="1:10" hidden="1" x14ac:dyDescent="0.3">
      <c r="A254">
        <v>29</v>
      </c>
      <c r="B254">
        <v>1350000</v>
      </c>
      <c r="C254">
        <v>5</v>
      </c>
      <c r="D254">
        <v>0</v>
      </c>
      <c r="E254">
        <v>1</v>
      </c>
      <c r="F254">
        <v>1</v>
      </c>
      <c r="G254">
        <v>0</v>
      </c>
      <c r="H254">
        <v>1</v>
      </c>
      <c r="I254">
        <v>1</v>
      </c>
      <c r="J254" t="s">
        <v>0</v>
      </c>
    </row>
    <row r="255" spans="1:10" hidden="1" x14ac:dyDescent="0.3">
      <c r="A255">
        <v>28</v>
      </c>
      <c r="B255">
        <v>1400000</v>
      </c>
      <c r="C255">
        <v>2</v>
      </c>
      <c r="D255">
        <v>0</v>
      </c>
      <c r="E255">
        <v>1</v>
      </c>
      <c r="F255">
        <v>0</v>
      </c>
      <c r="G255">
        <v>0</v>
      </c>
      <c r="H255">
        <v>1</v>
      </c>
      <c r="I255">
        <v>1</v>
      </c>
      <c r="J255" t="s">
        <v>0</v>
      </c>
    </row>
    <row r="256" spans="1:10" x14ac:dyDescent="0.3">
      <c r="A256">
        <v>28</v>
      </c>
      <c r="B256">
        <v>1200000</v>
      </c>
      <c r="C256">
        <v>5</v>
      </c>
      <c r="D256">
        <v>1</v>
      </c>
      <c r="E256">
        <v>1</v>
      </c>
      <c r="F256">
        <v>0</v>
      </c>
      <c r="G256">
        <v>0</v>
      </c>
      <c r="H256">
        <v>0</v>
      </c>
      <c r="I256">
        <v>0</v>
      </c>
      <c r="J256" t="s">
        <v>0</v>
      </c>
    </row>
    <row r="257" spans="1:10" hidden="1" x14ac:dyDescent="0.3">
      <c r="A257">
        <v>34</v>
      </c>
      <c r="B257">
        <v>1500000</v>
      </c>
      <c r="C257">
        <v>5</v>
      </c>
      <c r="D257">
        <v>0</v>
      </c>
      <c r="E257">
        <v>1</v>
      </c>
      <c r="F257">
        <v>0</v>
      </c>
      <c r="G257">
        <v>1</v>
      </c>
      <c r="H257">
        <v>1</v>
      </c>
      <c r="I257">
        <v>1</v>
      </c>
      <c r="J257" t="s">
        <v>0</v>
      </c>
    </row>
    <row r="258" spans="1:10" hidden="1" x14ac:dyDescent="0.3">
      <c r="A258">
        <v>34</v>
      </c>
      <c r="B258">
        <v>1300000</v>
      </c>
      <c r="C258">
        <v>7</v>
      </c>
      <c r="D258">
        <v>1</v>
      </c>
      <c r="E258">
        <v>1</v>
      </c>
      <c r="F258">
        <v>1</v>
      </c>
      <c r="G258">
        <v>0</v>
      </c>
      <c r="H258">
        <v>1</v>
      </c>
      <c r="I258">
        <v>1</v>
      </c>
      <c r="J258" t="s">
        <v>0</v>
      </c>
    </row>
    <row r="259" spans="1:10" hidden="1" x14ac:dyDescent="0.3">
      <c r="A259">
        <v>33</v>
      </c>
      <c r="B259">
        <v>550000</v>
      </c>
      <c r="C259">
        <v>5</v>
      </c>
      <c r="D259">
        <v>0</v>
      </c>
      <c r="E259">
        <v>1</v>
      </c>
      <c r="F259">
        <v>0</v>
      </c>
      <c r="G259">
        <v>0</v>
      </c>
      <c r="H259">
        <v>0</v>
      </c>
      <c r="I259">
        <v>1</v>
      </c>
      <c r="J259" t="s">
        <v>0</v>
      </c>
    </row>
    <row r="260" spans="1:10" x14ac:dyDescent="0.3">
      <c r="A260">
        <v>29</v>
      </c>
      <c r="B260">
        <v>900000</v>
      </c>
      <c r="C260">
        <v>7</v>
      </c>
      <c r="D260">
        <v>0</v>
      </c>
      <c r="E260">
        <v>1</v>
      </c>
      <c r="F260">
        <v>0</v>
      </c>
      <c r="G260">
        <v>1</v>
      </c>
      <c r="H260">
        <v>0</v>
      </c>
      <c r="I260">
        <v>0</v>
      </c>
      <c r="J260" t="s">
        <v>0</v>
      </c>
    </row>
    <row r="261" spans="1:10" hidden="1" x14ac:dyDescent="0.3">
      <c r="A261">
        <v>33</v>
      </c>
      <c r="B261">
        <v>400000</v>
      </c>
      <c r="C261">
        <v>3</v>
      </c>
      <c r="D261">
        <v>1</v>
      </c>
      <c r="E261">
        <v>1</v>
      </c>
      <c r="F261">
        <v>1</v>
      </c>
      <c r="G261">
        <v>0</v>
      </c>
      <c r="H261">
        <v>0</v>
      </c>
      <c r="I261">
        <v>1</v>
      </c>
      <c r="J261" t="s">
        <v>0</v>
      </c>
    </row>
    <row r="262" spans="1:10" hidden="1" x14ac:dyDescent="0.3">
      <c r="A262">
        <v>26</v>
      </c>
      <c r="B262">
        <v>1400000</v>
      </c>
      <c r="C262">
        <v>3</v>
      </c>
      <c r="D262">
        <v>0</v>
      </c>
      <c r="E262">
        <v>1</v>
      </c>
      <c r="F262">
        <v>1</v>
      </c>
      <c r="G262">
        <v>0</v>
      </c>
      <c r="H262">
        <v>1</v>
      </c>
      <c r="I262">
        <v>1</v>
      </c>
      <c r="J262" t="s">
        <v>0</v>
      </c>
    </row>
    <row r="263" spans="1:10" hidden="1" x14ac:dyDescent="0.3">
      <c r="A263">
        <v>28</v>
      </c>
      <c r="B263">
        <v>1100000</v>
      </c>
      <c r="C263">
        <v>4</v>
      </c>
      <c r="D263">
        <v>0</v>
      </c>
      <c r="E263">
        <v>1</v>
      </c>
      <c r="F263">
        <v>1</v>
      </c>
      <c r="G263">
        <v>0</v>
      </c>
      <c r="H263">
        <v>0</v>
      </c>
      <c r="I263">
        <v>1</v>
      </c>
      <c r="J263" t="s">
        <v>0</v>
      </c>
    </row>
    <row r="264" spans="1:10" x14ac:dyDescent="0.3">
      <c r="A264">
        <v>26</v>
      </c>
      <c r="B264">
        <v>750000</v>
      </c>
      <c r="C264">
        <v>4</v>
      </c>
      <c r="D264">
        <v>0</v>
      </c>
      <c r="E264">
        <v>1</v>
      </c>
      <c r="F264">
        <v>1</v>
      </c>
      <c r="G264">
        <v>0</v>
      </c>
      <c r="H264">
        <v>0</v>
      </c>
      <c r="I264">
        <v>0</v>
      </c>
      <c r="J264" t="s">
        <v>0</v>
      </c>
    </row>
    <row r="265" spans="1:10" x14ac:dyDescent="0.3">
      <c r="A265">
        <v>35</v>
      </c>
      <c r="B265">
        <v>800000</v>
      </c>
      <c r="C265">
        <v>4</v>
      </c>
      <c r="D265">
        <v>0</v>
      </c>
      <c r="E265">
        <v>0</v>
      </c>
      <c r="F265">
        <v>0</v>
      </c>
      <c r="G265">
        <v>0</v>
      </c>
      <c r="H265">
        <v>0</v>
      </c>
      <c r="I265">
        <v>0</v>
      </c>
      <c r="J265" t="s">
        <v>0</v>
      </c>
    </row>
    <row r="266" spans="1:10" x14ac:dyDescent="0.3">
      <c r="A266">
        <v>29</v>
      </c>
      <c r="B266">
        <v>350000</v>
      </c>
      <c r="C266">
        <v>9</v>
      </c>
      <c r="D266">
        <v>0</v>
      </c>
      <c r="E266">
        <v>1</v>
      </c>
      <c r="F266">
        <v>1</v>
      </c>
      <c r="G266">
        <v>0</v>
      </c>
      <c r="H266">
        <v>0</v>
      </c>
      <c r="I266">
        <v>0</v>
      </c>
      <c r="J266" t="s">
        <v>0</v>
      </c>
    </row>
    <row r="267" spans="1:10" x14ac:dyDescent="0.3">
      <c r="A267">
        <v>27</v>
      </c>
      <c r="B267">
        <v>850000</v>
      </c>
      <c r="C267">
        <v>6</v>
      </c>
      <c r="D267">
        <v>1</v>
      </c>
      <c r="E267">
        <v>1</v>
      </c>
      <c r="F267">
        <v>0</v>
      </c>
      <c r="G267">
        <v>1</v>
      </c>
      <c r="H267">
        <v>0</v>
      </c>
      <c r="I267">
        <v>0</v>
      </c>
      <c r="J267" t="s">
        <v>0</v>
      </c>
    </row>
    <row r="268" spans="1:10" x14ac:dyDescent="0.3">
      <c r="A268">
        <v>31</v>
      </c>
      <c r="B268">
        <v>400000</v>
      </c>
      <c r="C268">
        <v>5</v>
      </c>
      <c r="D268">
        <v>1</v>
      </c>
      <c r="E268">
        <v>1</v>
      </c>
      <c r="F268">
        <v>0</v>
      </c>
      <c r="G268">
        <v>0</v>
      </c>
      <c r="H268">
        <v>0</v>
      </c>
      <c r="I268">
        <v>0</v>
      </c>
      <c r="J268" t="s">
        <v>0</v>
      </c>
    </row>
    <row r="269" spans="1:10" hidden="1" x14ac:dyDescent="0.3">
      <c r="A269">
        <v>33</v>
      </c>
      <c r="B269">
        <v>1100000</v>
      </c>
      <c r="C269">
        <v>4</v>
      </c>
      <c r="D269">
        <v>1</v>
      </c>
      <c r="E269">
        <v>1</v>
      </c>
      <c r="F269">
        <v>0</v>
      </c>
      <c r="G269">
        <v>0</v>
      </c>
      <c r="H269">
        <v>0</v>
      </c>
      <c r="I269">
        <v>1</v>
      </c>
      <c r="J269" t="s">
        <v>0</v>
      </c>
    </row>
    <row r="270" spans="1:10" hidden="1" x14ac:dyDescent="0.3">
      <c r="A270">
        <v>34</v>
      </c>
      <c r="B270">
        <v>500000</v>
      </c>
      <c r="C270">
        <v>6</v>
      </c>
      <c r="D270">
        <v>0</v>
      </c>
      <c r="E270">
        <v>1</v>
      </c>
      <c r="F270">
        <v>0</v>
      </c>
      <c r="G270">
        <v>0</v>
      </c>
      <c r="H270">
        <v>0</v>
      </c>
      <c r="I270">
        <v>1</v>
      </c>
      <c r="J270" t="s">
        <v>0</v>
      </c>
    </row>
    <row r="271" spans="1:10" x14ac:dyDescent="0.3">
      <c r="A271">
        <v>27</v>
      </c>
      <c r="B271">
        <v>800000</v>
      </c>
      <c r="C271">
        <v>5</v>
      </c>
      <c r="D271">
        <v>0</v>
      </c>
      <c r="E271">
        <v>0</v>
      </c>
      <c r="F271">
        <v>0</v>
      </c>
      <c r="G271">
        <v>0</v>
      </c>
      <c r="H271">
        <v>0</v>
      </c>
      <c r="I271">
        <v>0</v>
      </c>
      <c r="J271" t="s">
        <v>0</v>
      </c>
    </row>
    <row r="272" spans="1:10" hidden="1" x14ac:dyDescent="0.3">
      <c r="A272">
        <v>34</v>
      </c>
      <c r="B272">
        <v>1300000</v>
      </c>
      <c r="C272">
        <v>6</v>
      </c>
      <c r="D272">
        <v>1</v>
      </c>
      <c r="E272">
        <v>1</v>
      </c>
      <c r="F272">
        <v>0</v>
      </c>
      <c r="G272">
        <v>0</v>
      </c>
      <c r="H272">
        <v>1</v>
      </c>
      <c r="I272">
        <v>1</v>
      </c>
      <c r="J272" t="s">
        <v>0</v>
      </c>
    </row>
    <row r="273" spans="1:10" x14ac:dyDescent="0.3">
      <c r="A273">
        <v>35</v>
      </c>
      <c r="B273">
        <v>900000</v>
      </c>
      <c r="C273">
        <v>3</v>
      </c>
      <c r="D273">
        <v>1</v>
      </c>
      <c r="E273">
        <v>1</v>
      </c>
      <c r="F273">
        <v>1</v>
      </c>
      <c r="G273">
        <v>0</v>
      </c>
      <c r="H273">
        <v>0</v>
      </c>
      <c r="I273">
        <v>0</v>
      </c>
      <c r="J273" t="s">
        <v>0</v>
      </c>
    </row>
    <row r="274" spans="1:10" x14ac:dyDescent="0.3">
      <c r="A274">
        <v>28</v>
      </c>
      <c r="B274">
        <v>700000</v>
      </c>
      <c r="C274">
        <v>3</v>
      </c>
      <c r="D274">
        <v>0</v>
      </c>
      <c r="E274">
        <v>1</v>
      </c>
      <c r="F274">
        <v>1</v>
      </c>
      <c r="G274">
        <v>0</v>
      </c>
      <c r="H274">
        <v>0</v>
      </c>
      <c r="I274">
        <v>0</v>
      </c>
      <c r="J274" t="s">
        <v>0</v>
      </c>
    </row>
    <row r="275" spans="1:10" hidden="1" x14ac:dyDescent="0.3">
      <c r="A275">
        <v>34</v>
      </c>
      <c r="B275">
        <v>1000000</v>
      </c>
      <c r="C275">
        <v>6</v>
      </c>
      <c r="D275">
        <v>0</v>
      </c>
      <c r="E275">
        <v>1</v>
      </c>
      <c r="F275">
        <v>0</v>
      </c>
      <c r="G275">
        <v>1</v>
      </c>
      <c r="H275">
        <v>0</v>
      </c>
      <c r="I275">
        <v>1</v>
      </c>
      <c r="J275" t="s">
        <v>0</v>
      </c>
    </row>
    <row r="276" spans="1:10" hidden="1" x14ac:dyDescent="0.3">
      <c r="A276">
        <v>32</v>
      </c>
      <c r="B276">
        <v>850000</v>
      </c>
      <c r="C276">
        <v>7</v>
      </c>
      <c r="D276">
        <v>1</v>
      </c>
      <c r="E276">
        <v>1</v>
      </c>
      <c r="F276">
        <v>0</v>
      </c>
      <c r="G276">
        <v>0</v>
      </c>
      <c r="H276">
        <v>0</v>
      </c>
      <c r="I276">
        <v>1</v>
      </c>
      <c r="J276" t="s">
        <v>0</v>
      </c>
    </row>
    <row r="277" spans="1:10" hidden="1" x14ac:dyDescent="0.3">
      <c r="A277">
        <v>26</v>
      </c>
      <c r="B277">
        <v>1400000</v>
      </c>
      <c r="C277">
        <v>4</v>
      </c>
      <c r="D277">
        <v>0</v>
      </c>
      <c r="E277">
        <v>1</v>
      </c>
      <c r="F277">
        <v>1</v>
      </c>
      <c r="G277">
        <v>0</v>
      </c>
      <c r="H277">
        <v>1</v>
      </c>
      <c r="I277">
        <v>1</v>
      </c>
      <c r="J277" t="s">
        <v>0</v>
      </c>
    </row>
    <row r="278" spans="1:10" x14ac:dyDescent="0.3">
      <c r="A278">
        <v>29</v>
      </c>
      <c r="B278">
        <v>1050000</v>
      </c>
      <c r="C278">
        <v>6</v>
      </c>
      <c r="D278">
        <v>0</v>
      </c>
      <c r="E278">
        <v>1</v>
      </c>
      <c r="F278">
        <v>0</v>
      </c>
      <c r="G278">
        <v>0</v>
      </c>
      <c r="H278">
        <v>0</v>
      </c>
      <c r="I278">
        <v>0</v>
      </c>
      <c r="J278" t="s">
        <v>0</v>
      </c>
    </row>
    <row r="279" spans="1:10" x14ac:dyDescent="0.3">
      <c r="A279">
        <v>31</v>
      </c>
      <c r="B279">
        <v>950000</v>
      </c>
      <c r="C279">
        <v>7</v>
      </c>
      <c r="D279">
        <v>0</v>
      </c>
      <c r="E279">
        <v>1</v>
      </c>
      <c r="F279">
        <v>0</v>
      </c>
      <c r="G279">
        <v>1</v>
      </c>
      <c r="H279">
        <v>0</v>
      </c>
      <c r="I279">
        <v>0</v>
      </c>
      <c r="J279" t="s">
        <v>0</v>
      </c>
    </row>
    <row r="280" spans="1:10" hidden="1" x14ac:dyDescent="0.3">
      <c r="A280">
        <v>32</v>
      </c>
      <c r="B280">
        <v>800000</v>
      </c>
      <c r="C280">
        <v>5</v>
      </c>
      <c r="D280">
        <v>1</v>
      </c>
      <c r="E280">
        <v>1</v>
      </c>
      <c r="F280">
        <v>1</v>
      </c>
      <c r="G280">
        <v>0</v>
      </c>
      <c r="H280">
        <v>0</v>
      </c>
      <c r="I280">
        <v>1</v>
      </c>
      <c r="J280" t="s">
        <v>0</v>
      </c>
    </row>
    <row r="281" spans="1:10" x14ac:dyDescent="0.3">
      <c r="A281">
        <v>32</v>
      </c>
      <c r="B281">
        <v>350000</v>
      </c>
      <c r="C281">
        <v>6</v>
      </c>
      <c r="D281">
        <v>1</v>
      </c>
      <c r="E281">
        <v>1</v>
      </c>
      <c r="F281">
        <v>0</v>
      </c>
      <c r="G281">
        <v>0</v>
      </c>
      <c r="H281">
        <v>0</v>
      </c>
      <c r="I281">
        <v>0</v>
      </c>
      <c r="J281" t="s">
        <v>0</v>
      </c>
    </row>
    <row r="282" spans="1:10" x14ac:dyDescent="0.3">
      <c r="A282">
        <v>32</v>
      </c>
      <c r="B282">
        <v>800000</v>
      </c>
      <c r="C282">
        <v>6</v>
      </c>
      <c r="D282">
        <v>1</v>
      </c>
      <c r="E282">
        <v>1</v>
      </c>
      <c r="F282">
        <v>0</v>
      </c>
      <c r="G282">
        <v>1</v>
      </c>
      <c r="H282">
        <v>0</v>
      </c>
      <c r="I282">
        <v>0</v>
      </c>
      <c r="J282" t="s">
        <v>0</v>
      </c>
    </row>
    <row r="283" spans="1:10" x14ac:dyDescent="0.3">
      <c r="A283">
        <v>26</v>
      </c>
      <c r="B283">
        <v>750000</v>
      </c>
      <c r="C283">
        <v>6</v>
      </c>
      <c r="D283">
        <v>0</v>
      </c>
      <c r="E283">
        <v>1</v>
      </c>
      <c r="F283">
        <v>0</v>
      </c>
      <c r="G283">
        <v>0</v>
      </c>
      <c r="H283">
        <v>0</v>
      </c>
      <c r="I283">
        <v>0</v>
      </c>
      <c r="J283" t="s">
        <v>0</v>
      </c>
    </row>
    <row r="284" spans="1:10" hidden="1" x14ac:dyDescent="0.3">
      <c r="A284">
        <v>26</v>
      </c>
      <c r="B284">
        <v>1400000</v>
      </c>
      <c r="C284">
        <v>4</v>
      </c>
      <c r="D284">
        <v>0</v>
      </c>
      <c r="E284">
        <v>1</v>
      </c>
      <c r="F284">
        <v>0</v>
      </c>
      <c r="G284">
        <v>0</v>
      </c>
      <c r="H284">
        <v>1</v>
      </c>
      <c r="I284">
        <v>1</v>
      </c>
      <c r="J284" t="s">
        <v>0</v>
      </c>
    </row>
    <row r="285" spans="1:10" x14ac:dyDescent="0.3">
      <c r="A285">
        <v>26</v>
      </c>
      <c r="B285">
        <v>600000</v>
      </c>
      <c r="C285">
        <v>4</v>
      </c>
      <c r="D285">
        <v>0</v>
      </c>
      <c r="E285">
        <v>1</v>
      </c>
      <c r="F285">
        <v>0</v>
      </c>
      <c r="G285">
        <v>1</v>
      </c>
      <c r="H285">
        <v>0</v>
      </c>
      <c r="I285">
        <v>0</v>
      </c>
      <c r="J285" t="s">
        <v>0</v>
      </c>
    </row>
    <row r="286" spans="1:10" hidden="1" x14ac:dyDescent="0.3">
      <c r="A286">
        <v>28</v>
      </c>
      <c r="B286">
        <v>750000</v>
      </c>
      <c r="C286">
        <v>3</v>
      </c>
      <c r="D286">
        <v>0</v>
      </c>
      <c r="E286">
        <v>1</v>
      </c>
      <c r="F286">
        <v>0</v>
      </c>
      <c r="G286">
        <v>0</v>
      </c>
      <c r="H286">
        <v>0</v>
      </c>
      <c r="I286">
        <v>1</v>
      </c>
      <c r="J286" t="s">
        <v>0</v>
      </c>
    </row>
    <row r="287" spans="1:10" x14ac:dyDescent="0.3">
      <c r="A287">
        <v>33</v>
      </c>
      <c r="B287">
        <v>750000</v>
      </c>
      <c r="C287">
        <v>4</v>
      </c>
      <c r="D287">
        <v>0</v>
      </c>
      <c r="E287">
        <v>1</v>
      </c>
      <c r="F287">
        <v>0</v>
      </c>
      <c r="G287">
        <v>0</v>
      </c>
      <c r="H287">
        <v>0</v>
      </c>
      <c r="I287">
        <v>0</v>
      </c>
      <c r="J287" t="s">
        <v>0</v>
      </c>
    </row>
    <row r="288" spans="1:10" x14ac:dyDescent="0.3">
      <c r="A288">
        <v>28</v>
      </c>
      <c r="B288">
        <v>600000</v>
      </c>
      <c r="C288">
        <v>3</v>
      </c>
      <c r="D288">
        <v>0</v>
      </c>
      <c r="E288">
        <v>1</v>
      </c>
      <c r="F288">
        <v>0</v>
      </c>
      <c r="G288">
        <v>0</v>
      </c>
      <c r="H288">
        <v>0</v>
      </c>
      <c r="I288">
        <v>0</v>
      </c>
      <c r="J288" t="s">
        <v>0</v>
      </c>
    </row>
    <row r="289" spans="1:10" x14ac:dyDescent="0.3">
      <c r="A289">
        <v>29</v>
      </c>
      <c r="B289">
        <v>1200000</v>
      </c>
      <c r="C289">
        <v>4</v>
      </c>
      <c r="D289">
        <v>0</v>
      </c>
      <c r="E289">
        <v>1</v>
      </c>
      <c r="F289">
        <v>0</v>
      </c>
      <c r="G289">
        <v>0</v>
      </c>
      <c r="H289">
        <v>0</v>
      </c>
      <c r="I289">
        <v>0</v>
      </c>
      <c r="J289" t="s">
        <v>0</v>
      </c>
    </row>
    <row r="290" spans="1:10" x14ac:dyDescent="0.3">
      <c r="A290">
        <v>29</v>
      </c>
      <c r="B290">
        <v>1100000</v>
      </c>
      <c r="C290">
        <v>4</v>
      </c>
      <c r="D290">
        <v>0</v>
      </c>
      <c r="E290">
        <v>1</v>
      </c>
      <c r="F290">
        <v>0</v>
      </c>
      <c r="G290">
        <v>0</v>
      </c>
      <c r="H290">
        <v>0</v>
      </c>
      <c r="I290">
        <v>0</v>
      </c>
      <c r="J290" t="s">
        <v>0</v>
      </c>
    </row>
    <row r="291" spans="1:10" x14ac:dyDescent="0.3">
      <c r="A291">
        <v>26</v>
      </c>
      <c r="B291">
        <v>500000</v>
      </c>
      <c r="C291">
        <v>3</v>
      </c>
      <c r="D291">
        <v>0</v>
      </c>
      <c r="E291">
        <v>1</v>
      </c>
      <c r="F291">
        <v>0</v>
      </c>
      <c r="G291">
        <v>0</v>
      </c>
      <c r="H291">
        <v>0</v>
      </c>
      <c r="I291">
        <v>0</v>
      </c>
      <c r="J291" t="s">
        <v>0</v>
      </c>
    </row>
    <row r="292" spans="1:10" x14ac:dyDescent="0.3">
      <c r="A292">
        <v>32</v>
      </c>
      <c r="B292">
        <v>900000</v>
      </c>
      <c r="C292">
        <v>6</v>
      </c>
      <c r="D292">
        <v>1</v>
      </c>
      <c r="E292">
        <v>1</v>
      </c>
      <c r="F292">
        <v>1</v>
      </c>
      <c r="G292">
        <v>0</v>
      </c>
      <c r="H292">
        <v>0</v>
      </c>
      <c r="I292">
        <v>0</v>
      </c>
      <c r="J292" t="s">
        <v>0</v>
      </c>
    </row>
    <row r="293" spans="1:10" x14ac:dyDescent="0.3">
      <c r="A293">
        <v>34</v>
      </c>
      <c r="B293">
        <v>1300000</v>
      </c>
      <c r="C293">
        <v>3</v>
      </c>
      <c r="D293">
        <v>0</v>
      </c>
      <c r="E293">
        <v>1</v>
      </c>
      <c r="F293">
        <v>0</v>
      </c>
      <c r="G293">
        <v>1</v>
      </c>
      <c r="H293">
        <v>0</v>
      </c>
      <c r="I293">
        <v>0</v>
      </c>
      <c r="J293" t="s">
        <v>0</v>
      </c>
    </row>
    <row r="294" spans="1:10" x14ac:dyDescent="0.3">
      <c r="A294">
        <v>27</v>
      </c>
      <c r="B294">
        <v>850000</v>
      </c>
      <c r="C294">
        <v>4</v>
      </c>
      <c r="D294">
        <v>1</v>
      </c>
      <c r="E294">
        <v>1</v>
      </c>
      <c r="F294">
        <v>0</v>
      </c>
      <c r="G294">
        <v>0</v>
      </c>
      <c r="H294">
        <v>0</v>
      </c>
      <c r="I294">
        <v>0</v>
      </c>
      <c r="J294" t="s">
        <v>0</v>
      </c>
    </row>
    <row r="295" spans="1:10" hidden="1" x14ac:dyDescent="0.3">
      <c r="A295">
        <v>31</v>
      </c>
      <c r="B295">
        <v>1250000</v>
      </c>
      <c r="C295">
        <v>3</v>
      </c>
      <c r="D295">
        <v>0</v>
      </c>
      <c r="E295">
        <v>1</v>
      </c>
      <c r="F295">
        <v>0</v>
      </c>
      <c r="G295">
        <v>0</v>
      </c>
      <c r="H295">
        <v>0</v>
      </c>
      <c r="I295">
        <v>1</v>
      </c>
      <c r="J295" t="s">
        <v>0</v>
      </c>
    </row>
    <row r="296" spans="1:10" x14ac:dyDescent="0.3">
      <c r="A296">
        <v>29</v>
      </c>
      <c r="B296">
        <v>1200000</v>
      </c>
      <c r="C296">
        <v>4</v>
      </c>
      <c r="D296">
        <v>0</v>
      </c>
      <c r="E296">
        <v>1</v>
      </c>
      <c r="F296">
        <v>0</v>
      </c>
      <c r="G296">
        <v>0</v>
      </c>
      <c r="H296">
        <v>0</v>
      </c>
      <c r="I296">
        <v>0</v>
      </c>
      <c r="J296" t="s">
        <v>0</v>
      </c>
    </row>
    <row r="297" spans="1:10" x14ac:dyDescent="0.3">
      <c r="A297">
        <v>28</v>
      </c>
      <c r="B297">
        <v>550000</v>
      </c>
      <c r="C297">
        <v>5</v>
      </c>
      <c r="D297">
        <v>0</v>
      </c>
      <c r="E297">
        <v>1</v>
      </c>
      <c r="F297">
        <v>0</v>
      </c>
      <c r="G297">
        <v>0</v>
      </c>
      <c r="H297">
        <v>0</v>
      </c>
      <c r="I297">
        <v>0</v>
      </c>
      <c r="J297" t="s">
        <v>0</v>
      </c>
    </row>
    <row r="298" spans="1:10" x14ac:dyDescent="0.3">
      <c r="A298">
        <v>32</v>
      </c>
      <c r="B298">
        <v>350000</v>
      </c>
      <c r="C298">
        <v>7</v>
      </c>
      <c r="D298">
        <v>1</v>
      </c>
      <c r="E298">
        <v>1</v>
      </c>
      <c r="F298">
        <v>0</v>
      </c>
      <c r="G298">
        <v>0</v>
      </c>
      <c r="H298">
        <v>0</v>
      </c>
      <c r="I298">
        <v>0</v>
      </c>
      <c r="J298" t="s">
        <v>0</v>
      </c>
    </row>
    <row r="299" spans="1:10" hidden="1" x14ac:dyDescent="0.3">
      <c r="A299">
        <v>35</v>
      </c>
      <c r="B299">
        <v>800000</v>
      </c>
      <c r="C299">
        <v>7</v>
      </c>
      <c r="D299">
        <v>0</v>
      </c>
      <c r="E299">
        <v>0</v>
      </c>
      <c r="F299">
        <v>1</v>
      </c>
      <c r="G299">
        <v>0</v>
      </c>
      <c r="H299">
        <v>0</v>
      </c>
      <c r="I299">
        <v>1</v>
      </c>
      <c r="J299" t="s">
        <v>0</v>
      </c>
    </row>
    <row r="300" spans="1:10" hidden="1" x14ac:dyDescent="0.3">
      <c r="A300">
        <v>25</v>
      </c>
      <c r="B300">
        <v>1700000</v>
      </c>
      <c r="C300">
        <v>4</v>
      </c>
      <c r="D300">
        <v>0</v>
      </c>
      <c r="E300">
        <v>0</v>
      </c>
      <c r="F300">
        <v>0</v>
      </c>
      <c r="G300">
        <v>1</v>
      </c>
      <c r="H300">
        <v>0</v>
      </c>
      <c r="I300">
        <v>1</v>
      </c>
      <c r="J300" t="s">
        <v>0</v>
      </c>
    </row>
    <row r="301" spans="1:10" x14ac:dyDescent="0.3">
      <c r="A301">
        <v>27</v>
      </c>
      <c r="B301">
        <v>450000</v>
      </c>
      <c r="C301">
        <v>3</v>
      </c>
      <c r="D301">
        <v>0</v>
      </c>
      <c r="E301">
        <v>0</v>
      </c>
      <c r="F301">
        <v>0</v>
      </c>
      <c r="G301">
        <v>0</v>
      </c>
      <c r="H301">
        <v>0</v>
      </c>
      <c r="I301">
        <v>0</v>
      </c>
      <c r="J301" t="s">
        <v>0</v>
      </c>
    </row>
    <row r="302" spans="1:10" hidden="1" x14ac:dyDescent="0.3">
      <c r="A302">
        <v>32</v>
      </c>
      <c r="B302">
        <v>900000</v>
      </c>
      <c r="C302">
        <v>5</v>
      </c>
      <c r="D302">
        <v>1</v>
      </c>
      <c r="E302">
        <v>1</v>
      </c>
      <c r="F302">
        <v>1</v>
      </c>
      <c r="G302">
        <v>0</v>
      </c>
      <c r="H302">
        <v>0</v>
      </c>
      <c r="I302">
        <v>1</v>
      </c>
      <c r="J302" t="s">
        <v>0</v>
      </c>
    </row>
    <row r="303" spans="1:10" x14ac:dyDescent="0.3">
      <c r="A303">
        <v>27</v>
      </c>
      <c r="B303">
        <v>850000</v>
      </c>
      <c r="C303">
        <v>4</v>
      </c>
      <c r="D303">
        <v>1</v>
      </c>
      <c r="E303">
        <v>1</v>
      </c>
      <c r="F303">
        <v>1</v>
      </c>
      <c r="G303">
        <v>0</v>
      </c>
      <c r="H303">
        <v>0</v>
      </c>
      <c r="I303">
        <v>0</v>
      </c>
      <c r="J303" t="s">
        <v>0</v>
      </c>
    </row>
    <row r="304" spans="1:10" hidden="1" x14ac:dyDescent="0.3">
      <c r="A304">
        <v>34</v>
      </c>
      <c r="B304">
        <v>700000</v>
      </c>
      <c r="C304">
        <v>6</v>
      </c>
      <c r="D304">
        <v>0</v>
      </c>
      <c r="E304">
        <v>1</v>
      </c>
      <c r="F304">
        <v>0</v>
      </c>
      <c r="G304">
        <v>0</v>
      </c>
      <c r="H304">
        <v>0</v>
      </c>
      <c r="I304">
        <v>1</v>
      </c>
      <c r="J304" t="s">
        <v>0</v>
      </c>
    </row>
    <row r="305" spans="1:10" x14ac:dyDescent="0.3">
      <c r="A305">
        <v>31</v>
      </c>
      <c r="B305">
        <v>300000</v>
      </c>
      <c r="C305">
        <v>3</v>
      </c>
      <c r="D305">
        <v>1</v>
      </c>
      <c r="E305">
        <v>0</v>
      </c>
      <c r="F305">
        <v>0</v>
      </c>
      <c r="G305">
        <v>0</v>
      </c>
      <c r="H305">
        <v>0</v>
      </c>
      <c r="I305">
        <v>0</v>
      </c>
      <c r="J305" t="s">
        <v>0</v>
      </c>
    </row>
    <row r="306" spans="1:10" x14ac:dyDescent="0.3">
      <c r="A306">
        <v>34</v>
      </c>
      <c r="B306">
        <v>1050000</v>
      </c>
      <c r="C306">
        <v>3</v>
      </c>
      <c r="D306">
        <v>0</v>
      </c>
      <c r="E306">
        <v>1</v>
      </c>
      <c r="F306">
        <v>0</v>
      </c>
      <c r="G306">
        <v>0</v>
      </c>
      <c r="H306">
        <v>0</v>
      </c>
      <c r="I306">
        <v>0</v>
      </c>
      <c r="J306" t="s">
        <v>0</v>
      </c>
    </row>
    <row r="307" spans="1:10" x14ac:dyDescent="0.3">
      <c r="A307">
        <v>26</v>
      </c>
      <c r="B307">
        <v>1250000</v>
      </c>
      <c r="C307">
        <v>4</v>
      </c>
      <c r="D307">
        <v>0</v>
      </c>
      <c r="E307">
        <v>1</v>
      </c>
      <c r="F307">
        <v>1</v>
      </c>
      <c r="G307">
        <v>0</v>
      </c>
      <c r="H307">
        <v>1</v>
      </c>
      <c r="I307">
        <v>0</v>
      </c>
      <c r="J307" t="s">
        <v>0</v>
      </c>
    </row>
    <row r="308" spans="1:10" hidden="1" x14ac:dyDescent="0.3">
      <c r="A308">
        <v>33</v>
      </c>
      <c r="B308">
        <v>650000</v>
      </c>
      <c r="C308">
        <v>5</v>
      </c>
      <c r="D308">
        <v>1</v>
      </c>
      <c r="E308">
        <v>1</v>
      </c>
      <c r="F308">
        <v>1</v>
      </c>
      <c r="G308">
        <v>0</v>
      </c>
      <c r="H308">
        <v>0</v>
      </c>
      <c r="I308">
        <v>1</v>
      </c>
      <c r="J308" t="s">
        <v>0</v>
      </c>
    </row>
    <row r="309" spans="1:10" x14ac:dyDescent="0.3">
      <c r="A309">
        <v>28</v>
      </c>
      <c r="B309">
        <v>1150000</v>
      </c>
      <c r="C309">
        <v>8</v>
      </c>
      <c r="D309">
        <v>0</v>
      </c>
      <c r="E309">
        <v>1</v>
      </c>
      <c r="F309">
        <v>1</v>
      </c>
      <c r="G309">
        <v>0</v>
      </c>
      <c r="H309">
        <v>0</v>
      </c>
      <c r="I309">
        <v>0</v>
      </c>
      <c r="J309" t="s">
        <v>0</v>
      </c>
    </row>
    <row r="310" spans="1:10" x14ac:dyDescent="0.3">
      <c r="A310">
        <v>34</v>
      </c>
      <c r="B310">
        <v>1000000</v>
      </c>
      <c r="C310">
        <v>9</v>
      </c>
      <c r="D310">
        <v>0</v>
      </c>
      <c r="E310">
        <v>1</v>
      </c>
      <c r="F310">
        <v>1</v>
      </c>
      <c r="G310">
        <v>0</v>
      </c>
      <c r="H310">
        <v>0</v>
      </c>
      <c r="I310">
        <v>0</v>
      </c>
      <c r="J310" t="s">
        <v>0</v>
      </c>
    </row>
    <row r="311" spans="1:10" hidden="1" x14ac:dyDescent="0.3">
      <c r="A311">
        <v>33</v>
      </c>
      <c r="B311">
        <v>650000</v>
      </c>
      <c r="C311">
        <v>4</v>
      </c>
      <c r="D311">
        <v>1</v>
      </c>
      <c r="E311">
        <v>1</v>
      </c>
      <c r="F311">
        <v>0</v>
      </c>
      <c r="G311">
        <v>0</v>
      </c>
      <c r="H311">
        <v>0</v>
      </c>
      <c r="I311">
        <v>1</v>
      </c>
      <c r="J311" t="s">
        <v>0</v>
      </c>
    </row>
    <row r="312" spans="1:10" x14ac:dyDescent="0.3">
      <c r="A312">
        <v>30</v>
      </c>
      <c r="B312">
        <v>550000</v>
      </c>
      <c r="C312">
        <v>8</v>
      </c>
      <c r="D312">
        <v>0</v>
      </c>
      <c r="E312">
        <v>0</v>
      </c>
      <c r="F312">
        <v>0</v>
      </c>
      <c r="G312">
        <v>0</v>
      </c>
      <c r="H312">
        <v>0</v>
      </c>
      <c r="I312">
        <v>0</v>
      </c>
      <c r="J312" t="s">
        <v>0</v>
      </c>
    </row>
    <row r="313" spans="1:10" hidden="1" x14ac:dyDescent="0.3">
      <c r="A313">
        <v>34</v>
      </c>
      <c r="B313">
        <v>1500000</v>
      </c>
      <c r="C313">
        <v>7</v>
      </c>
      <c r="D313">
        <v>0</v>
      </c>
      <c r="E313">
        <v>1</v>
      </c>
      <c r="F313">
        <v>0</v>
      </c>
      <c r="G313">
        <v>1</v>
      </c>
      <c r="H313">
        <v>1</v>
      </c>
      <c r="I313">
        <v>1</v>
      </c>
      <c r="J313" t="s">
        <v>0</v>
      </c>
    </row>
    <row r="314" spans="1:10" x14ac:dyDescent="0.3">
      <c r="A314">
        <v>32</v>
      </c>
      <c r="B314">
        <v>850000</v>
      </c>
      <c r="C314">
        <v>7</v>
      </c>
      <c r="D314">
        <v>0</v>
      </c>
      <c r="E314">
        <v>1</v>
      </c>
      <c r="F314">
        <v>0</v>
      </c>
      <c r="G314">
        <v>0</v>
      </c>
      <c r="H314">
        <v>0</v>
      </c>
      <c r="I314">
        <v>0</v>
      </c>
      <c r="J314" t="s">
        <v>0</v>
      </c>
    </row>
    <row r="315" spans="1:10" hidden="1" x14ac:dyDescent="0.3">
      <c r="A315">
        <v>25</v>
      </c>
      <c r="B315">
        <v>1150000</v>
      </c>
      <c r="C315">
        <v>4</v>
      </c>
      <c r="D315">
        <v>0</v>
      </c>
      <c r="E315">
        <v>0</v>
      </c>
      <c r="F315">
        <v>0</v>
      </c>
      <c r="G315">
        <v>0</v>
      </c>
      <c r="H315">
        <v>0</v>
      </c>
      <c r="I315">
        <v>1</v>
      </c>
      <c r="J315" t="s">
        <v>0</v>
      </c>
    </row>
    <row r="316" spans="1:10" hidden="1" x14ac:dyDescent="0.3">
      <c r="A316">
        <v>26</v>
      </c>
      <c r="B316">
        <v>1400000</v>
      </c>
      <c r="C316">
        <v>5</v>
      </c>
      <c r="D316">
        <v>0</v>
      </c>
      <c r="E316">
        <v>1</v>
      </c>
      <c r="F316">
        <v>0</v>
      </c>
      <c r="G316">
        <v>0</v>
      </c>
      <c r="H316">
        <v>1</v>
      </c>
      <c r="I316">
        <v>1</v>
      </c>
      <c r="J316" t="s">
        <v>0</v>
      </c>
    </row>
    <row r="317" spans="1:10" x14ac:dyDescent="0.3">
      <c r="A317">
        <v>28</v>
      </c>
      <c r="B317">
        <v>300000</v>
      </c>
      <c r="C317">
        <v>4</v>
      </c>
      <c r="D317">
        <v>1</v>
      </c>
      <c r="E317">
        <v>1</v>
      </c>
      <c r="F317">
        <v>0</v>
      </c>
      <c r="G317">
        <v>0</v>
      </c>
      <c r="H317">
        <v>0</v>
      </c>
      <c r="I317">
        <v>0</v>
      </c>
      <c r="J317" t="s">
        <v>0</v>
      </c>
    </row>
    <row r="318" spans="1:10" x14ac:dyDescent="0.3">
      <c r="A318">
        <v>31</v>
      </c>
      <c r="B318">
        <v>950000</v>
      </c>
      <c r="C318">
        <v>5</v>
      </c>
      <c r="D318">
        <v>0</v>
      </c>
      <c r="E318">
        <v>1</v>
      </c>
      <c r="F318">
        <v>1</v>
      </c>
      <c r="G318">
        <v>0</v>
      </c>
      <c r="H318">
        <v>0</v>
      </c>
      <c r="I318">
        <v>0</v>
      </c>
      <c r="J318" t="s">
        <v>0</v>
      </c>
    </row>
    <row r="319" spans="1:10" hidden="1" x14ac:dyDescent="0.3">
      <c r="A319">
        <v>32</v>
      </c>
      <c r="B319">
        <v>800000</v>
      </c>
      <c r="C319">
        <v>6</v>
      </c>
      <c r="D319">
        <v>1</v>
      </c>
      <c r="E319">
        <v>1</v>
      </c>
      <c r="F319">
        <v>0</v>
      </c>
      <c r="G319">
        <v>0</v>
      </c>
      <c r="H319">
        <v>0</v>
      </c>
      <c r="I319">
        <v>1</v>
      </c>
      <c r="J319" t="s">
        <v>0</v>
      </c>
    </row>
    <row r="320" spans="1:10" hidden="1" x14ac:dyDescent="0.3">
      <c r="A320">
        <v>34</v>
      </c>
      <c r="B320">
        <v>1100000</v>
      </c>
      <c r="C320">
        <v>3</v>
      </c>
      <c r="D320">
        <v>1</v>
      </c>
      <c r="E320">
        <v>1</v>
      </c>
      <c r="F320">
        <v>0</v>
      </c>
      <c r="G320">
        <v>0</v>
      </c>
      <c r="H320">
        <v>0</v>
      </c>
      <c r="I320">
        <v>1</v>
      </c>
      <c r="J320" t="s">
        <v>0</v>
      </c>
    </row>
    <row r="321" spans="1:10" hidden="1" x14ac:dyDescent="0.3">
      <c r="A321">
        <v>25</v>
      </c>
      <c r="B321">
        <v>1700000</v>
      </c>
      <c r="C321">
        <v>2</v>
      </c>
      <c r="D321">
        <v>0</v>
      </c>
      <c r="E321">
        <v>1</v>
      </c>
      <c r="F321">
        <v>1</v>
      </c>
      <c r="G321">
        <v>1</v>
      </c>
      <c r="H321">
        <v>0</v>
      </c>
      <c r="I321">
        <v>1</v>
      </c>
      <c r="J321" t="s">
        <v>0</v>
      </c>
    </row>
    <row r="322" spans="1:10" x14ac:dyDescent="0.3">
      <c r="A322">
        <v>35</v>
      </c>
      <c r="B322">
        <v>800000</v>
      </c>
      <c r="C322">
        <v>5</v>
      </c>
      <c r="D322">
        <v>0</v>
      </c>
      <c r="E322">
        <v>0</v>
      </c>
      <c r="F322">
        <v>0</v>
      </c>
      <c r="G322">
        <v>0</v>
      </c>
      <c r="H322">
        <v>0</v>
      </c>
      <c r="I322">
        <v>0</v>
      </c>
      <c r="J322" t="s">
        <v>0</v>
      </c>
    </row>
    <row r="323" spans="1:10" x14ac:dyDescent="0.3">
      <c r="A323">
        <v>28</v>
      </c>
      <c r="B323">
        <v>500000</v>
      </c>
      <c r="C323">
        <v>3</v>
      </c>
      <c r="D323">
        <v>0</v>
      </c>
      <c r="E323">
        <v>1</v>
      </c>
      <c r="F323">
        <v>0</v>
      </c>
      <c r="G323">
        <v>0</v>
      </c>
      <c r="H323">
        <v>0</v>
      </c>
      <c r="I323">
        <v>0</v>
      </c>
      <c r="J323" t="s">
        <v>0</v>
      </c>
    </row>
    <row r="324" spans="1:10" x14ac:dyDescent="0.3">
      <c r="A324">
        <v>28</v>
      </c>
      <c r="B324">
        <v>750000</v>
      </c>
      <c r="C324">
        <v>3</v>
      </c>
      <c r="D324">
        <v>0</v>
      </c>
      <c r="E324">
        <v>1</v>
      </c>
      <c r="F324">
        <v>0</v>
      </c>
      <c r="G324">
        <v>0</v>
      </c>
      <c r="H324">
        <v>0</v>
      </c>
      <c r="I324">
        <v>0</v>
      </c>
      <c r="J324" t="s">
        <v>0</v>
      </c>
    </row>
    <row r="325" spans="1:10" hidden="1" x14ac:dyDescent="0.3">
      <c r="A325">
        <v>33</v>
      </c>
      <c r="B325">
        <v>1400000</v>
      </c>
      <c r="C325">
        <v>5</v>
      </c>
      <c r="D325">
        <v>0</v>
      </c>
      <c r="E325">
        <v>1</v>
      </c>
      <c r="F325">
        <v>0</v>
      </c>
      <c r="G325">
        <v>0</v>
      </c>
      <c r="H325">
        <v>1</v>
      </c>
      <c r="I325">
        <v>1</v>
      </c>
      <c r="J325" t="s">
        <v>0</v>
      </c>
    </row>
    <row r="326" spans="1:10" x14ac:dyDescent="0.3">
      <c r="A326">
        <v>28</v>
      </c>
      <c r="B326">
        <v>300000</v>
      </c>
      <c r="C326">
        <v>5</v>
      </c>
      <c r="D326">
        <v>1</v>
      </c>
      <c r="E326">
        <v>1</v>
      </c>
      <c r="F326">
        <v>0</v>
      </c>
      <c r="G326">
        <v>0</v>
      </c>
      <c r="H326">
        <v>0</v>
      </c>
      <c r="I326">
        <v>0</v>
      </c>
      <c r="J326" t="s">
        <v>0</v>
      </c>
    </row>
    <row r="327" spans="1:10" x14ac:dyDescent="0.3">
      <c r="A327">
        <v>31</v>
      </c>
      <c r="B327">
        <v>1250000</v>
      </c>
      <c r="C327">
        <v>4</v>
      </c>
      <c r="D327">
        <v>0</v>
      </c>
      <c r="E327">
        <v>1</v>
      </c>
      <c r="F327">
        <v>0</v>
      </c>
      <c r="G327">
        <v>0</v>
      </c>
      <c r="H327">
        <v>0</v>
      </c>
      <c r="I327">
        <v>0</v>
      </c>
      <c r="J327" t="s">
        <v>0</v>
      </c>
    </row>
    <row r="328" spans="1:10" x14ac:dyDescent="0.3">
      <c r="A328">
        <v>28</v>
      </c>
      <c r="B328">
        <v>1150000</v>
      </c>
      <c r="C328">
        <v>5</v>
      </c>
      <c r="D328">
        <v>0</v>
      </c>
      <c r="E328">
        <v>1</v>
      </c>
      <c r="F328">
        <v>0</v>
      </c>
      <c r="G328">
        <v>0</v>
      </c>
      <c r="H328">
        <v>0</v>
      </c>
      <c r="I328">
        <v>0</v>
      </c>
      <c r="J328" t="s">
        <v>0</v>
      </c>
    </row>
    <row r="329" spans="1:10" x14ac:dyDescent="0.3">
      <c r="A329">
        <v>34</v>
      </c>
      <c r="B329">
        <v>1300000</v>
      </c>
      <c r="C329">
        <v>3</v>
      </c>
      <c r="D329">
        <v>1</v>
      </c>
      <c r="E329">
        <v>1</v>
      </c>
      <c r="F329">
        <v>0</v>
      </c>
      <c r="G329">
        <v>0</v>
      </c>
      <c r="H329">
        <v>0</v>
      </c>
      <c r="I329">
        <v>0</v>
      </c>
      <c r="J329" t="s">
        <v>0</v>
      </c>
    </row>
    <row r="330" spans="1:10" hidden="1" x14ac:dyDescent="0.3">
      <c r="A330">
        <v>34</v>
      </c>
      <c r="B330">
        <v>700000</v>
      </c>
      <c r="C330">
        <v>6</v>
      </c>
      <c r="D330">
        <v>0</v>
      </c>
      <c r="E330">
        <v>1</v>
      </c>
      <c r="F330">
        <v>0</v>
      </c>
      <c r="G330">
        <v>1</v>
      </c>
      <c r="H330">
        <v>1</v>
      </c>
      <c r="I330">
        <v>1</v>
      </c>
      <c r="J330" t="s">
        <v>0</v>
      </c>
    </row>
    <row r="331" spans="1:10" x14ac:dyDescent="0.3">
      <c r="A331">
        <v>28</v>
      </c>
      <c r="B331">
        <v>1100000</v>
      </c>
      <c r="C331">
        <v>8</v>
      </c>
      <c r="D331">
        <v>0</v>
      </c>
      <c r="E331">
        <v>1</v>
      </c>
      <c r="F331">
        <v>0</v>
      </c>
      <c r="G331">
        <v>0</v>
      </c>
      <c r="H331">
        <v>0</v>
      </c>
      <c r="I331">
        <v>0</v>
      </c>
      <c r="J331" t="s">
        <v>0</v>
      </c>
    </row>
    <row r="332" spans="1:10" x14ac:dyDescent="0.3">
      <c r="A332">
        <v>35</v>
      </c>
      <c r="B332">
        <v>800000</v>
      </c>
      <c r="C332">
        <v>4</v>
      </c>
      <c r="D332">
        <v>0</v>
      </c>
      <c r="E332">
        <v>0</v>
      </c>
      <c r="F332">
        <v>0</v>
      </c>
      <c r="G332">
        <v>0</v>
      </c>
      <c r="H332">
        <v>0</v>
      </c>
      <c r="I332">
        <v>0</v>
      </c>
      <c r="J332" t="s">
        <v>0</v>
      </c>
    </row>
    <row r="333" spans="1:10" hidden="1" x14ac:dyDescent="0.3">
      <c r="A333">
        <v>33</v>
      </c>
      <c r="B333">
        <v>550000</v>
      </c>
      <c r="C333">
        <v>4</v>
      </c>
      <c r="D333">
        <v>0</v>
      </c>
      <c r="E333">
        <v>1</v>
      </c>
      <c r="F333">
        <v>0</v>
      </c>
      <c r="G333">
        <v>0</v>
      </c>
      <c r="H333">
        <v>0</v>
      </c>
      <c r="I333">
        <v>1</v>
      </c>
      <c r="J333" t="s">
        <v>0</v>
      </c>
    </row>
    <row r="334" spans="1:10" hidden="1" x14ac:dyDescent="0.3">
      <c r="A334">
        <v>31</v>
      </c>
      <c r="B334">
        <v>1650000</v>
      </c>
      <c r="C334">
        <v>7</v>
      </c>
      <c r="D334">
        <v>0</v>
      </c>
      <c r="E334">
        <v>1</v>
      </c>
      <c r="F334">
        <v>1</v>
      </c>
      <c r="G334">
        <v>1</v>
      </c>
      <c r="H334">
        <v>0</v>
      </c>
      <c r="I334">
        <v>1</v>
      </c>
      <c r="J334" t="s">
        <v>0</v>
      </c>
    </row>
    <row r="335" spans="1:10" x14ac:dyDescent="0.3">
      <c r="A335">
        <v>31</v>
      </c>
      <c r="B335">
        <v>1400000</v>
      </c>
      <c r="C335">
        <v>6</v>
      </c>
      <c r="D335">
        <v>0</v>
      </c>
      <c r="E335">
        <v>1</v>
      </c>
      <c r="F335">
        <v>1</v>
      </c>
      <c r="G335">
        <v>0</v>
      </c>
      <c r="H335">
        <v>1</v>
      </c>
      <c r="I335">
        <v>0</v>
      </c>
      <c r="J335" t="s">
        <v>0</v>
      </c>
    </row>
    <row r="336" spans="1:10" hidden="1" x14ac:dyDescent="0.3">
      <c r="A336">
        <v>29</v>
      </c>
      <c r="B336">
        <v>1050000</v>
      </c>
      <c r="C336">
        <v>3</v>
      </c>
      <c r="D336">
        <v>0</v>
      </c>
      <c r="E336">
        <v>1</v>
      </c>
      <c r="F336">
        <v>0</v>
      </c>
      <c r="G336">
        <v>0</v>
      </c>
      <c r="H336">
        <v>0</v>
      </c>
      <c r="I336">
        <v>1</v>
      </c>
      <c r="J336" t="s">
        <v>0</v>
      </c>
    </row>
    <row r="337" spans="1:10" hidden="1" x14ac:dyDescent="0.3">
      <c r="A337">
        <v>28</v>
      </c>
      <c r="B337">
        <v>800000</v>
      </c>
      <c r="C337">
        <v>2</v>
      </c>
      <c r="D337">
        <v>0</v>
      </c>
      <c r="E337">
        <v>1</v>
      </c>
      <c r="F337">
        <v>0</v>
      </c>
      <c r="G337">
        <v>0</v>
      </c>
      <c r="H337">
        <v>0</v>
      </c>
      <c r="I337">
        <v>1</v>
      </c>
      <c r="J337" t="s">
        <v>0</v>
      </c>
    </row>
    <row r="338" spans="1:10" x14ac:dyDescent="0.3">
      <c r="A338">
        <v>32</v>
      </c>
      <c r="B338">
        <v>350000</v>
      </c>
      <c r="C338">
        <v>9</v>
      </c>
      <c r="D338">
        <v>1</v>
      </c>
      <c r="E338">
        <v>1</v>
      </c>
      <c r="F338">
        <v>1</v>
      </c>
      <c r="G338">
        <v>0</v>
      </c>
      <c r="H338">
        <v>0</v>
      </c>
      <c r="I338">
        <v>0</v>
      </c>
      <c r="J338" t="s">
        <v>0</v>
      </c>
    </row>
    <row r="339" spans="1:10" x14ac:dyDescent="0.3">
      <c r="A339">
        <v>30</v>
      </c>
      <c r="B339">
        <v>550000</v>
      </c>
      <c r="C339">
        <v>7</v>
      </c>
      <c r="D339">
        <v>0</v>
      </c>
      <c r="E339">
        <v>0</v>
      </c>
      <c r="F339">
        <v>0</v>
      </c>
      <c r="G339">
        <v>1</v>
      </c>
      <c r="H339">
        <v>0</v>
      </c>
      <c r="I339">
        <v>0</v>
      </c>
      <c r="J339" t="s">
        <v>0</v>
      </c>
    </row>
    <row r="340" spans="1:10" x14ac:dyDescent="0.3">
      <c r="A340">
        <v>28</v>
      </c>
      <c r="B340">
        <v>600000</v>
      </c>
      <c r="C340">
        <v>3</v>
      </c>
      <c r="D340">
        <v>0</v>
      </c>
      <c r="E340">
        <v>1</v>
      </c>
      <c r="F340">
        <v>0</v>
      </c>
      <c r="G340">
        <v>0</v>
      </c>
      <c r="H340">
        <v>0</v>
      </c>
      <c r="I340">
        <v>0</v>
      </c>
      <c r="J340" t="s">
        <v>0</v>
      </c>
    </row>
    <row r="341" spans="1:10" x14ac:dyDescent="0.3">
      <c r="A341">
        <v>29</v>
      </c>
      <c r="B341">
        <v>1050000</v>
      </c>
      <c r="C341">
        <v>5</v>
      </c>
      <c r="D341">
        <v>0</v>
      </c>
      <c r="E341">
        <v>1</v>
      </c>
      <c r="F341">
        <v>0</v>
      </c>
      <c r="G341">
        <v>0</v>
      </c>
      <c r="H341">
        <v>0</v>
      </c>
      <c r="I341">
        <v>0</v>
      </c>
      <c r="J341" t="s">
        <v>0</v>
      </c>
    </row>
    <row r="342" spans="1:10" x14ac:dyDescent="0.3">
      <c r="A342">
        <v>27</v>
      </c>
      <c r="B342">
        <v>800000</v>
      </c>
      <c r="C342">
        <v>7</v>
      </c>
      <c r="D342">
        <v>0</v>
      </c>
      <c r="E342">
        <v>0</v>
      </c>
      <c r="F342">
        <v>1</v>
      </c>
      <c r="G342">
        <v>0</v>
      </c>
      <c r="H342">
        <v>0</v>
      </c>
      <c r="I342">
        <v>0</v>
      </c>
      <c r="J342" t="s">
        <v>0</v>
      </c>
    </row>
    <row r="343" spans="1:10" x14ac:dyDescent="0.3">
      <c r="A343">
        <v>28</v>
      </c>
      <c r="B343">
        <v>550000</v>
      </c>
      <c r="C343">
        <v>7</v>
      </c>
      <c r="D343">
        <v>0</v>
      </c>
      <c r="E343">
        <v>1</v>
      </c>
      <c r="F343">
        <v>0</v>
      </c>
      <c r="G343">
        <v>0</v>
      </c>
      <c r="H343">
        <v>0</v>
      </c>
      <c r="I343">
        <v>0</v>
      </c>
      <c r="J343" t="s">
        <v>0</v>
      </c>
    </row>
    <row r="344" spans="1:10" hidden="1" x14ac:dyDescent="0.3">
      <c r="A344">
        <v>28</v>
      </c>
      <c r="B344">
        <v>1100000</v>
      </c>
      <c r="C344">
        <v>2</v>
      </c>
      <c r="D344">
        <v>0</v>
      </c>
      <c r="E344">
        <v>1</v>
      </c>
      <c r="F344">
        <v>0</v>
      </c>
      <c r="G344">
        <v>0</v>
      </c>
      <c r="H344">
        <v>0</v>
      </c>
      <c r="I344">
        <v>1</v>
      </c>
      <c r="J344" t="s">
        <v>0</v>
      </c>
    </row>
    <row r="345" spans="1:10" x14ac:dyDescent="0.3">
      <c r="A345">
        <v>28</v>
      </c>
      <c r="B345">
        <v>1250000</v>
      </c>
      <c r="C345">
        <v>7</v>
      </c>
      <c r="D345">
        <v>0</v>
      </c>
      <c r="E345">
        <v>1</v>
      </c>
      <c r="F345">
        <v>0</v>
      </c>
      <c r="G345">
        <v>0</v>
      </c>
      <c r="H345">
        <v>0</v>
      </c>
      <c r="I345">
        <v>0</v>
      </c>
      <c r="J345" t="s">
        <v>0</v>
      </c>
    </row>
    <row r="346" spans="1:10" x14ac:dyDescent="0.3">
      <c r="A346">
        <v>32</v>
      </c>
      <c r="B346">
        <v>800000</v>
      </c>
      <c r="C346">
        <v>4</v>
      </c>
      <c r="D346">
        <v>1</v>
      </c>
      <c r="E346">
        <v>1</v>
      </c>
      <c r="F346">
        <v>0</v>
      </c>
      <c r="G346">
        <v>1</v>
      </c>
      <c r="H346">
        <v>1</v>
      </c>
      <c r="I346">
        <v>0</v>
      </c>
      <c r="J346" t="s">
        <v>0</v>
      </c>
    </row>
    <row r="347" spans="1:10" x14ac:dyDescent="0.3">
      <c r="A347">
        <v>29</v>
      </c>
      <c r="B347">
        <v>1200000</v>
      </c>
      <c r="C347">
        <v>5</v>
      </c>
      <c r="D347">
        <v>0</v>
      </c>
      <c r="E347">
        <v>1</v>
      </c>
      <c r="F347">
        <v>0</v>
      </c>
      <c r="G347">
        <v>0</v>
      </c>
      <c r="H347">
        <v>1</v>
      </c>
      <c r="I347">
        <v>0</v>
      </c>
      <c r="J347" t="s">
        <v>0</v>
      </c>
    </row>
    <row r="348" spans="1:10" hidden="1" x14ac:dyDescent="0.3">
      <c r="A348">
        <v>25</v>
      </c>
      <c r="B348">
        <v>1800000</v>
      </c>
      <c r="C348">
        <v>7</v>
      </c>
      <c r="D348">
        <v>0</v>
      </c>
      <c r="E348">
        <v>1</v>
      </c>
      <c r="F348">
        <v>1</v>
      </c>
      <c r="G348">
        <v>1</v>
      </c>
      <c r="H348">
        <v>0</v>
      </c>
      <c r="I348">
        <v>1</v>
      </c>
      <c r="J348" t="s">
        <v>0</v>
      </c>
    </row>
    <row r="349" spans="1:10" x14ac:dyDescent="0.3">
      <c r="A349">
        <v>34</v>
      </c>
      <c r="B349">
        <v>1300000</v>
      </c>
      <c r="C349">
        <v>6</v>
      </c>
      <c r="D349">
        <v>0</v>
      </c>
      <c r="E349">
        <v>1</v>
      </c>
      <c r="F349">
        <v>0</v>
      </c>
      <c r="G349">
        <v>1</v>
      </c>
      <c r="H349">
        <v>0</v>
      </c>
      <c r="I349">
        <v>0</v>
      </c>
      <c r="J349" t="s">
        <v>0</v>
      </c>
    </row>
    <row r="350" spans="1:10" x14ac:dyDescent="0.3">
      <c r="A350">
        <v>31</v>
      </c>
      <c r="B350">
        <v>1400000</v>
      </c>
      <c r="C350">
        <v>6</v>
      </c>
      <c r="D350">
        <v>0</v>
      </c>
      <c r="E350">
        <v>1</v>
      </c>
      <c r="F350">
        <v>1</v>
      </c>
      <c r="G350">
        <v>0</v>
      </c>
      <c r="H350">
        <v>1</v>
      </c>
      <c r="I350">
        <v>0</v>
      </c>
      <c r="J350" t="s">
        <v>0</v>
      </c>
    </row>
    <row r="351" spans="1:10" x14ac:dyDescent="0.3">
      <c r="A351">
        <v>28</v>
      </c>
      <c r="B351">
        <v>500000</v>
      </c>
      <c r="C351">
        <v>3</v>
      </c>
      <c r="D351">
        <v>0</v>
      </c>
      <c r="E351">
        <v>1</v>
      </c>
      <c r="F351">
        <v>0</v>
      </c>
      <c r="G351">
        <v>0</v>
      </c>
      <c r="H351">
        <v>0</v>
      </c>
      <c r="I351">
        <v>0</v>
      </c>
      <c r="J351" t="s">
        <v>0</v>
      </c>
    </row>
    <row r="352" spans="1:10" x14ac:dyDescent="0.3">
      <c r="A352">
        <v>31</v>
      </c>
      <c r="B352">
        <v>950000</v>
      </c>
      <c r="C352">
        <v>5</v>
      </c>
      <c r="D352">
        <v>0</v>
      </c>
      <c r="E352">
        <v>1</v>
      </c>
      <c r="F352">
        <v>0</v>
      </c>
      <c r="G352">
        <v>1</v>
      </c>
      <c r="H352">
        <v>1</v>
      </c>
      <c r="I352">
        <v>0</v>
      </c>
      <c r="J352" t="s">
        <v>0</v>
      </c>
    </row>
    <row r="353" spans="1:10" x14ac:dyDescent="0.3">
      <c r="A353">
        <v>29</v>
      </c>
      <c r="B353">
        <v>1200000</v>
      </c>
      <c r="C353">
        <v>9</v>
      </c>
      <c r="D353">
        <v>0</v>
      </c>
      <c r="E353">
        <v>1</v>
      </c>
      <c r="F353">
        <v>1</v>
      </c>
      <c r="G353">
        <v>1</v>
      </c>
      <c r="H353">
        <v>0</v>
      </c>
      <c r="I353">
        <v>0</v>
      </c>
      <c r="J353" t="s">
        <v>0</v>
      </c>
    </row>
    <row r="354" spans="1:10" hidden="1" x14ac:dyDescent="0.3">
      <c r="A354">
        <v>31</v>
      </c>
      <c r="B354">
        <v>1350000</v>
      </c>
      <c r="C354">
        <v>6</v>
      </c>
      <c r="D354">
        <v>0</v>
      </c>
      <c r="E354">
        <v>1</v>
      </c>
      <c r="F354">
        <v>0</v>
      </c>
      <c r="G354">
        <v>0</v>
      </c>
      <c r="H354">
        <v>1</v>
      </c>
      <c r="I354">
        <v>1</v>
      </c>
      <c r="J354" t="s">
        <v>0</v>
      </c>
    </row>
    <row r="355" spans="1:10" x14ac:dyDescent="0.3">
      <c r="A355">
        <v>31</v>
      </c>
      <c r="B355">
        <v>300000</v>
      </c>
      <c r="C355">
        <v>3</v>
      </c>
      <c r="D355">
        <v>1</v>
      </c>
      <c r="E355">
        <v>0</v>
      </c>
      <c r="F355">
        <v>0</v>
      </c>
      <c r="G355">
        <v>0</v>
      </c>
      <c r="H355">
        <v>0</v>
      </c>
      <c r="I355">
        <v>0</v>
      </c>
      <c r="J355" t="s">
        <v>0</v>
      </c>
    </row>
    <row r="356" spans="1:10" hidden="1" x14ac:dyDescent="0.3">
      <c r="A356">
        <v>25</v>
      </c>
      <c r="B356">
        <v>1150000</v>
      </c>
      <c r="C356">
        <v>5</v>
      </c>
      <c r="D356">
        <v>0</v>
      </c>
      <c r="E356">
        <v>0</v>
      </c>
      <c r="F356">
        <v>0</v>
      </c>
      <c r="G356">
        <v>0</v>
      </c>
      <c r="H356">
        <v>0</v>
      </c>
      <c r="I356">
        <v>1</v>
      </c>
      <c r="J356" t="s">
        <v>0</v>
      </c>
    </row>
    <row r="357" spans="1:10" hidden="1" x14ac:dyDescent="0.3">
      <c r="A357">
        <v>28</v>
      </c>
      <c r="B357">
        <v>1400000</v>
      </c>
      <c r="C357">
        <v>3</v>
      </c>
      <c r="D357">
        <v>0</v>
      </c>
      <c r="E357">
        <v>1</v>
      </c>
      <c r="F357">
        <v>0</v>
      </c>
      <c r="G357">
        <v>0</v>
      </c>
      <c r="H357">
        <v>1</v>
      </c>
      <c r="I357">
        <v>1</v>
      </c>
      <c r="J357" t="s">
        <v>0</v>
      </c>
    </row>
    <row r="358" spans="1:10" x14ac:dyDescent="0.3">
      <c r="A358">
        <v>34</v>
      </c>
      <c r="B358">
        <v>1000000</v>
      </c>
      <c r="C358">
        <v>4</v>
      </c>
      <c r="D358">
        <v>0</v>
      </c>
      <c r="E358">
        <v>1</v>
      </c>
      <c r="F358">
        <v>0</v>
      </c>
      <c r="G358">
        <v>0</v>
      </c>
      <c r="H358">
        <v>0</v>
      </c>
      <c r="I358">
        <v>0</v>
      </c>
      <c r="J358" t="s">
        <v>0</v>
      </c>
    </row>
    <row r="359" spans="1:10" x14ac:dyDescent="0.3">
      <c r="A359">
        <v>34</v>
      </c>
      <c r="B359">
        <v>500000</v>
      </c>
      <c r="C359">
        <v>5</v>
      </c>
      <c r="D359">
        <v>0</v>
      </c>
      <c r="E359">
        <v>1</v>
      </c>
      <c r="F359">
        <v>0</v>
      </c>
      <c r="G359">
        <v>0</v>
      </c>
      <c r="H359">
        <v>0</v>
      </c>
      <c r="I359">
        <v>0</v>
      </c>
      <c r="J359" t="s">
        <v>0</v>
      </c>
    </row>
    <row r="360" spans="1:10" x14ac:dyDescent="0.3">
      <c r="A360">
        <v>34</v>
      </c>
      <c r="B360">
        <v>1000000</v>
      </c>
      <c r="C360">
        <v>5</v>
      </c>
      <c r="D360">
        <v>0</v>
      </c>
      <c r="E360">
        <v>1</v>
      </c>
      <c r="F360">
        <v>0</v>
      </c>
      <c r="G360">
        <v>1</v>
      </c>
      <c r="H360">
        <v>0</v>
      </c>
      <c r="I360">
        <v>0</v>
      </c>
      <c r="J360" t="s">
        <v>0</v>
      </c>
    </row>
    <row r="361" spans="1:10" x14ac:dyDescent="0.3">
      <c r="A361">
        <v>25</v>
      </c>
      <c r="B361">
        <v>1150000</v>
      </c>
      <c r="C361">
        <v>3</v>
      </c>
      <c r="D361">
        <v>0</v>
      </c>
      <c r="E361">
        <v>0</v>
      </c>
      <c r="F361">
        <v>0</v>
      </c>
      <c r="G361">
        <v>0</v>
      </c>
      <c r="H361">
        <v>0</v>
      </c>
      <c r="I361">
        <v>0</v>
      </c>
      <c r="J361" t="s">
        <v>0</v>
      </c>
    </row>
    <row r="362" spans="1:10" x14ac:dyDescent="0.3">
      <c r="A362">
        <v>28</v>
      </c>
      <c r="B362">
        <v>550000</v>
      </c>
      <c r="C362">
        <v>4</v>
      </c>
      <c r="D362">
        <v>0</v>
      </c>
      <c r="E362">
        <v>0</v>
      </c>
      <c r="F362">
        <v>0</v>
      </c>
      <c r="G362">
        <v>0</v>
      </c>
      <c r="H362">
        <v>0</v>
      </c>
      <c r="I362">
        <v>0</v>
      </c>
      <c r="J362" t="s">
        <v>0</v>
      </c>
    </row>
    <row r="363" spans="1:10" hidden="1" x14ac:dyDescent="0.3">
      <c r="A363">
        <v>29</v>
      </c>
      <c r="B363">
        <v>1350000</v>
      </c>
      <c r="C363">
        <v>4</v>
      </c>
      <c r="D363">
        <v>0</v>
      </c>
      <c r="E363">
        <v>1</v>
      </c>
      <c r="F363">
        <v>0</v>
      </c>
      <c r="G363">
        <v>0</v>
      </c>
      <c r="H363">
        <v>1</v>
      </c>
      <c r="I363">
        <v>1</v>
      </c>
      <c r="J363" t="s">
        <v>0</v>
      </c>
    </row>
    <row r="364" spans="1:10" x14ac:dyDescent="0.3">
      <c r="A364">
        <v>28</v>
      </c>
      <c r="B364">
        <v>700000</v>
      </c>
      <c r="C364">
        <v>2</v>
      </c>
      <c r="D364">
        <v>0</v>
      </c>
      <c r="E364">
        <v>1</v>
      </c>
      <c r="F364">
        <v>1</v>
      </c>
      <c r="G364">
        <v>0</v>
      </c>
      <c r="H364">
        <v>0</v>
      </c>
      <c r="I364">
        <v>0</v>
      </c>
      <c r="J364" t="s">
        <v>0</v>
      </c>
    </row>
    <row r="365" spans="1:10" x14ac:dyDescent="0.3">
      <c r="A365">
        <v>34</v>
      </c>
      <c r="B365">
        <v>1300000</v>
      </c>
      <c r="C365">
        <v>4</v>
      </c>
      <c r="D365">
        <v>1</v>
      </c>
      <c r="E365">
        <v>1</v>
      </c>
      <c r="F365">
        <v>0</v>
      </c>
      <c r="G365">
        <v>0</v>
      </c>
      <c r="H365">
        <v>0</v>
      </c>
      <c r="I365">
        <v>0</v>
      </c>
      <c r="J365" t="s">
        <v>0</v>
      </c>
    </row>
    <row r="366" spans="1:10" x14ac:dyDescent="0.3">
      <c r="A366">
        <v>31</v>
      </c>
      <c r="B366">
        <v>1200000</v>
      </c>
      <c r="C366">
        <v>6</v>
      </c>
      <c r="D366">
        <v>1</v>
      </c>
      <c r="E366">
        <v>1</v>
      </c>
      <c r="F366">
        <v>0</v>
      </c>
      <c r="G366">
        <v>0</v>
      </c>
      <c r="H366">
        <v>0</v>
      </c>
      <c r="I366">
        <v>0</v>
      </c>
      <c r="J366" t="s">
        <v>0</v>
      </c>
    </row>
    <row r="367" spans="1:10" hidden="1" x14ac:dyDescent="0.3">
      <c r="A367">
        <v>25</v>
      </c>
      <c r="B367">
        <v>1700000</v>
      </c>
      <c r="C367">
        <v>3</v>
      </c>
      <c r="D367">
        <v>0</v>
      </c>
      <c r="E367">
        <v>0</v>
      </c>
      <c r="F367">
        <v>0</v>
      </c>
      <c r="G367">
        <v>1</v>
      </c>
      <c r="H367">
        <v>0</v>
      </c>
      <c r="I367">
        <v>1</v>
      </c>
      <c r="J367" t="s">
        <v>0</v>
      </c>
    </row>
    <row r="368" spans="1:10" x14ac:dyDescent="0.3">
      <c r="A368">
        <v>28</v>
      </c>
      <c r="B368">
        <v>300000</v>
      </c>
      <c r="C368">
        <v>3</v>
      </c>
      <c r="D368">
        <v>1</v>
      </c>
      <c r="E368">
        <v>1</v>
      </c>
      <c r="F368">
        <v>0</v>
      </c>
      <c r="G368">
        <v>0</v>
      </c>
      <c r="H368">
        <v>0</v>
      </c>
      <c r="I368">
        <v>0</v>
      </c>
      <c r="J368" t="s">
        <v>0</v>
      </c>
    </row>
    <row r="369" spans="1:10" x14ac:dyDescent="0.3">
      <c r="A369">
        <v>31</v>
      </c>
      <c r="B369">
        <v>1300000</v>
      </c>
      <c r="C369">
        <v>4</v>
      </c>
      <c r="D369">
        <v>1</v>
      </c>
      <c r="E369">
        <v>1</v>
      </c>
      <c r="F369">
        <v>0</v>
      </c>
      <c r="G369">
        <v>0</v>
      </c>
      <c r="H369">
        <v>0</v>
      </c>
      <c r="I369">
        <v>0</v>
      </c>
      <c r="J369" t="s">
        <v>0</v>
      </c>
    </row>
    <row r="370" spans="1:10" hidden="1" x14ac:dyDescent="0.3">
      <c r="A370">
        <v>35</v>
      </c>
      <c r="B370">
        <v>800000</v>
      </c>
      <c r="C370">
        <v>3</v>
      </c>
      <c r="D370">
        <v>0</v>
      </c>
      <c r="E370">
        <v>0</v>
      </c>
      <c r="F370">
        <v>0</v>
      </c>
      <c r="G370">
        <v>0</v>
      </c>
      <c r="H370">
        <v>0</v>
      </c>
      <c r="I370">
        <v>1</v>
      </c>
      <c r="J370" t="s">
        <v>0</v>
      </c>
    </row>
    <row r="371" spans="1:10" x14ac:dyDescent="0.3">
      <c r="A371">
        <v>32</v>
      </c>
      <c r="B371">
        <v>800000</v>
      </c>
      <c r="C371">
        <v>7</v>
      </c>
      <c r="D371">
        <v>1</v>
      </c>
      <c r="E371">
        <v>1</v>
      </c>
      <c r="F371">
        <v>1</v>
      </c>
      <c r="G371">
        <v>0</v>
      </c>
      <c r="H371">
        <v>0</v>
      </c>
      <c r="I371">
        <v>0</v>
      </c>
      <c r="J371" t="s">
        <v>0</v>
      </c>
    </row>
    <row r="372" spans="1:10" hidden="1" x14ac:dyDescent="0.3">
      <c r="A372">
        <v>31</v>
      </c>
      <c r="B372">
        <v>1300000</v>
      </c>
      <c r="C372">
        <v>6</v>
      </c>
      <c r="D372">
        <v>1</v>
      </c>
      <c r="E372">
        <v>1</v>
      </c>
      <c r="F372">
        <v>0</v>
      </c>
      <c r="G372">
        <v>0</v>
      </c>
      <c r="H372">
        <v>0</v>
      </c>
      <c r="I372">
        <v>1</v>
      </c>
      <c r="J372" t="s">
        <v>0</v>
      </c>
    </row>
    <row r="373" spans="1:10" x14ac:dyDescent="0.3">
      <c r="A373">
        <v>27</v>
      </c>
      <c r="B373">
        <v>900000</v>
      </c>
      <c r="C373">
        <v>5</v>
      </c>
      <c r="D373">
        <v>1</v>
      </c>
      <c r="E373">
        <v>1</v>
      </c>
      <c r="F373">
        <v>1</v>
      </c>
      <c r="G373">
        <v>0</v>
      </c>
      <c r="H373">
        <v>1</v>
      </c>
      <c r="I373">
        <v>0</v>
      </c>
      <c r="J373" t="s">
        <v>0</v>
      </c>
    </row>
    <row r="374" spans="1:10" x14ac:dyDescent="0.3">
      <c r="A374">
        <v>29</v>
      </c>
      <c r="B374">
        <v>350000</v>
      </c>
      <c r="C374">
        <v>5</v>
      </c>
      <c r="D374">
        <v>0</v>
      </c>
      <c r="E374">
        <v>1</v>
      </c>
      <c r="F374">
        <v>1</v>
      </c>
      <c r="G374">
        <v>0</v>
      </c>
      <c r="H374">
        <v>0</v>
      </c>
      <c r="I374">
        <v>0</v>
      </c>
      <c r="J374" t="s">
        <v>0</v>
      </c>
    </row>
    <row r="375" spans="1:10" x14ac:dyDescent="0.3">
      <c r="A375">
        <v>28</v>
      </c>
      <c r="B375">
        <v>900000</v>
      </c>
      <c r="C375">
        <v>5</v>
      </c>
      <c r="D375">
        <v>0</v>
      </c>
      <c r="E375">
        <v>1</v>
      </c>
      <c r="F375">
        <v>0</v>
      </c>
      <c r="G375">
        <v>1</v>
      </c>
      <c r="H375">
        <v>0</v>
      </c>
      <c r="I375">
        <v>0</v>
      </c>
      <c r="J375" t="s">
        <v>0</v>
      </c>
    </row>
    <row r="376" spans="1:10" x14ac:dyDescent="0.3">
      <c r="A376">
        <v>28</v>
      </c>
      <c r="B376">
        <v>600000</v>
      </c>
      <c r="C376">
        <v>7</v>
      </c>
      <c r="D376">
        <v>1</v>
      </c>
      <c r="E376">
        <v>1</v>
      </c>
      <c r="F376">
        <v>0</v>
      </c>
      <c r="G376">
        <v>0</v>
      </c>
      <c r="H376">
        <v>0</v>
      </c>
      <c r="I376">
        <v>0</v>
      </c>
      <c r="J376" t="s">
        <v>0</v>
      </c>
    </row>
    <row r="377" spans="1:10" x14ac:dyDescent="0.3">
      <c r="A377">
        <v>28</v>
      </c>
      <c r="B377">
        <v>1100000</v>
      </c>
      <c r="C377">
        <v>6</v>
      </c>
      <c r="D377">
        <v>0</v>
      </c>
      <c r="E377">
        <v>1</v>
      </c>
      <c r="F377">
        <v>1</v>
      </c>
      <c r="G377">
        <v>0</v>
      </c>
      <c r="H377">
        <v>0</v>
      </c>
      <c r="I377">
        <v>0</v>
      </c>
      <c r="J377" t="s">
        <v>0</v>
      </c>
    </row>
    <row r="378" spans="1:10" x14ac:dyDescent="0.3">
      <c r="A378">
        <v>31</v>
      </c>
      <c r="B378">
        <v>1300000</v>
      </c>
      <c r="C378">
        <v>4</v>
      </c>
      <c r="D378">
        <v>1</v>
      </c>
      <c r="E378">
        <v>1</v>
      </c>
      <c r="F378">
        <v>0</v>
      </c>
      <c r="G378">
        <v>0</v>
      </c>
      <c r="H378">
        <v>0</v>
      </c>
      <c r="I378">
        <v>0</v>
      </c>
      <c r="J378" t="s">
        <v>0</v>
      </c>
    </row>
    <row r="379" spans="1:10" hidden="1" x14ac:dyDescent="0.3">
      <c r="A379">
        <v>27</v>
      </c>
      <c r="B379">
        <v>1550000</v>
      </c>
      <c r="C379">
        <v>4</v>
      </c>
      <c r="D379">
        <v>0</v>
      </c>
      <c r="E379">
        <v>0</v>
      </c>
      <c r="F379">
        <v>0</v>
      </c>
      <c r="G379">
        <v>1</v>
      </c>
      <c r="H379">
        <v>0</v>
      </c>
      <c r="I379">
        <v>1</v>
      </c>
      <c r="J379" t="s">
        <v>0</v>
      </c>
    </row>
    <row r="380" spans="1:10" hidden="1" x14ac:dyDescent="0.3">
      <c r="A380">
        <v>25</v>
      </c>
      <c r="B380">
        <v>1700000</v>
      </c>
      <c r="C380">
        <v>5</v>
      </c>
      <c r="D380">
        <v>0</v>
      </c>
      <c r="E380">
        <v>1</v>
      </c>
      <c r="F380">
        <v>0</v>
      </c>
      <c r="G380">
        <v>1</v>
      </c>
      <c r="H380">
        <v>0</v>
      </c>
      <c r="I380">
        <v>1</v>
      </c>
      <c r="J380" t="s">
        <v>0</v>
      </c>
    </row>
    <row r="381" spans="1:10" hidden="1" x14ac:dyDescent="0.3">
      <c r="A381">
        <v>27</v>
      </c>
      <c r="B381">
        <v>1550000</v>
      </c>
      <c r="C381">
        <v>6</v>
      </c>
      <c r="D381">
        <v>0</v>
      </c>
      <c r="E381">
        <v>0</v>
      </c>
      <c r="F381">
        <v>0</v>
      </c>
      <c r="G381">
        <v>1</v>
      </c>
      <c r="H381">
        <v>0</v>
      </c>
      <c r="I381">
        <v>1</v>
      </c>
      <c r="J381" t="s">
        <v>0</v>
      </c>
    </row>
    <row r="382" spans="1:10" x14ac:dyDescent="0.3">
      <c r="A382">
        <v>28</v>
      </c>
      <c r="B382">
        <v>1200000</v>
      </c>
      <c r="C382">
        <v>5</v>
      </c>
      <c r="D382">
        <v>0</v>
      </c>
      <c r="E382">
        <v>1</v>
      </c>
      <c r="F382">
        <v>1</v>
      </c>
      <c r="G382">
        <v>0</v>
      </c>
      <c r="H382">
        <v>0</v>
      </c>
      <c r="I382">
        <v>0</v>
      </c>
      <c r="J382" t="s">
        <v>0</v>
      </c>
    </row>
    <row r="383" spans="1:10" x14ac:dyDescent="0.3">
      <c r="A383">
        <v>29</v>
      </c>
      <c r="B383">
        <v>1200000</v>
      </c>
      <c r="C383">
        <v>5</v>
      </c>
      <c r="D383">
        <v>0</v>
      </c>
      <c r="E383">
        <v>1</v>
      </c>
      <c r="F383">
        <v>0</v>
      </c>
      <c r="G383">
        <v>0</v>
      </c>
      <c r="H383">
        <v>0</v>
      </c>
      <c r="I383">
        <v>0</v>
      </c>
      <c r="J383" t="s">
        <v>0</v>
      </c>
    </row>
    <row r="384" spans="1:10" hidden="1" x14ac:dyDescent="0.3">
      <c r="A384">
        <v>31</v>
      </c>
      <c r="B384">
        <v>1400000</v>
      </c>
      <c r="C384">
        <v>6</v>
      </c>
      <c r="D384">
        <v>0</v>
      </c>
      <c r="E384">
        <v>1</v>
      </c>
      <c r="F384">
        <v>0</v>
      </c>
      <c r="G384">
        <v>0</v>
      </c>
      <c r="H384">
        <v>1</v>
      </c>
      <c r="I384">
        <v>1</v>
      </c>
      <c r="J384" t="s">
        <v>0</v>
      </c>
    </row>
    <row r="385" spans="1:10" x14ac:dyDescent="0.3">
      <c r="A385">
        <v>29</v>
      </c>
      <c r="B385">
        <v>1100000</v>
      </c>
      <c r="C385">
        <v>4</v>
      </c>
      <c r="D385">
        <v>0</v>
      </c>
      <c r="E385">
        <v>1</v>
      </c>
      <c r="F385">
        <v>0</v>
      </c>
      <c r="G385">
        <v>0</v>
      </c>
      <c r="H385">
        <v>0</v>
      </c>
      <c r="I385">
        <v>0</v>
      </c>
      <c r="J385" t="s">
        <v>0</v>
      </c>
    </row>
    <row r="386" spans="1:10" x14ac:dyDescent="0.3">
      <c r="A386">
        <v>33</v>
      </c>
      <c r="B386">
        <v>600000</v>
      </c>
      <c r="C386">
        <v>3</v>
      </c>
      <c r="D386">
        <v>1</v>
      </c>
      <c r="E386">
        <v>1</v>
      </c>
      <c r="F386">
        <v>0</v>
      </c>
      <c r="G386">
        <v>0</v>
      </c>
      <c r="H386">
        <v>1</v>
      </c>
      <c r="I386">
        <v>0</v>
      </c>
      <c r="J386" t="s">
        <v>0</v>
      </c>
    </row>
    <row r="387" spans="1:10" x14ac:dyDescent="0.3">
      <c r="A387">
        <v>34</v>
      </c>
      <c r="B387">
        <v>1000000</v>
      </c>
      <c r="C387">
        <v>5</v>
      </c>
      <c r="D387">
        <v>0</v>
      </c>
      <c r="E387">
        <v>1</v>
      </c>
      <c r="F387">
        <v>0</v>
      </c>
      <c r="G387">
        <v>0</v>
      </c>
      <c r="H387">
        <v>0</v>
      </c>
      <c r="I387">
        <v>0</v>
      </c>
      <c r="J387" t="s">
        <v>0</v>
      </c>
    </row>
    <row r="388" spans="1:10" hidden="1" x14ac:dyDescent="0.3">
      <c r="A388">
        <v>28</v>
      </c>
      <c r="B388">
        <v>1350000</v>
      </c>
      <c r="C388">
        <v>5</v>
      </c>
      <c r="D388">
        <v>0</v>
      </c>
      <c r="E388">
        <v>1</v>
      </c>
      <c r="F388">
        <v>0</v>
      </c>
      <c r="G388">
        <v>0</v>
      </c>
      <c r="H388">
        <v>1</v>
      </c>
      <c r="I388">
        <v>1</v>
      </c>
      <c r="J388" t="s">
        <v>0</v>
      </c>
    </row>
    <row r="389" spans="1:10" x14ac:dyDescent="0.3">
      <c r="A389">
        <v>28</v>
      </c>
      <c r="B389">
        <v>300000</v>
      </c>
      <c r="C389">
        <v>5</v>
      </c>
      <c r="D389">
        <v>1</v>
      </c>
      <c r="E389">
        <v>1</v>
      </c>
      <c r="F389">
        <v>0</v>
      </c>
      <c r="G389">
        <v>0</v>
      </c>
      <c r="H389">
        <v>0</v>
      </c>
      <c r="I389">
        <v>0</v>
      </c>
      <c r="J389" t="s">
        <v>0</v>
      </c>
    </row>
    <row r="390" spans="1:10" x14ac:dyDescent="0.3">
      <c r="A390">
        <v>28</v>
      </c>
      <c r="B390">
        <v>550000</v>
      </c>
      <c r="C390">
        <v>5</v>
      </c>
      <c r="D390">
        <v>0</v>
      </c>
      <c r="E390">
        <v>1</v>
      </c>
      <c r="F390">
        <v>0</v>
      </c>
      <c r="G390">
        <v>0</v>
      </c>
      <c r="H390">
        <v>0</v>
      </c>
      <c r="I390">
        <v>0</v>
      </c>
      <c r="J390" t="s">
        <v>0</v>
      </c>
    </row>
    <row r="391" spans="1:10" hidden="1" x14ac:dyDescent="0.3">
      <c r="A391">
        <v>31</v>
      </c>
      <c r="B391">
        <v>1350000</v>
      </c>
      <c r="C391">
        <v>5</v>
      </c>
      <c r="D391">
        <v>0</v>
      </c>
      <c r="E391">
        <v>1</v>
      </c>
      <c r="F391">
        <v>0</v>
      </c>
      <c r="G391">
        <v>0</v>
      </c>
      <c r="H391">
        <v>1</v>
      </c>
      <c r="I391">
        <v>1</v>
      </c>
      <c r="J391" t="s">
        <v>0</v>
      </c>
    </row>
    <row r="392" spans="1:10" hidden="1" x14ac:dyDescent="0.3">
      <c r="A392">
        <v>33</v>
      </c>
      <c r="B392">
        <v>550000</v>
      </c>
      <c r="C392">
        <v>5</v>
      </c>
      <c r="D392">
        <v>0</v>
      </c>
      <c r="E392">
        <v>1</v>
      </c>
      <c r="F392">
        <v>0</v>
      </c>
      <c r="G392">
        <v>0</v>
      </c>
      <c r="H392">
        <v>0</v>
      </c>
      <c r="I392">
        <v>1</v>
      </c>
      <c r="J392" t="s">
        <v>0</v>
      </c>
    </row>
    <row r="393" spans="1:10" hidden="1" x14ac:dyDescent="0.3">
      <c r="A393">
        <v>28</v>
      </c>
      <c r="B393">
        <v>1200000</v>
      </c>
      <c r="C393">
        <v>5</v>
      </c>
      <c r="D393">
        <v>1</v>
      </c>
      <c r="E393">
        <v>1</v>
      </c>
      <c r="F393">
        <v>0</v>
      </c>
      <c r="G393">
        <v>0</v>
      </c>
      <c r="H393">
        <v>0</v>
      </c>
      <c r="I393">
        <v>1</v>
      </c>
      <c r="J393" t="s">
        <v>0</v>
      </c>
    </row>
    <row r="394" spans="1:10" hidden="1" x14ac:dyDescent="0.3">
      <c r="A394">
        <v>31</v>
      </c>
      <c r="B394">
        <v>950000</v>
      </c>
      <c r="C394">
        <v>4</v>
      </c>
      <c r="D394">
        <v>0</v>
      </c>
      <c r="E394">
        <v>1</v>
      </c>
      <c r="F394">
        <v>1</v>
      </c>
      <c r="G394">
        <v>0</v>
      </c>
      <c r="H394">
        <v>0</v>
      </c>
      <c r="I394">
        <v>1</v>
      </c>
      <c r="J394" t="s">
        <v>0</v>
      </c>
    </row>
    <row r="395" spans="1:10" x14ac:dyDescent="0.3">
      <c r="A395">
        <v>29</v>
      </c>
      <c r="B395">
        <v>1050000</v>
      </c>
      <c r="C395">
        <v>3</v>
      </c>
      <c r="D395">
        <v>0</v>
      </c>
      <c r="E395">
        <v>1</v>
      </c>
      <c r="F395">
        <v>0</v>
      </c>
      <c r="G395">
        <v>1</v>
      </c>
      <c r="H395">
        <v>0</v>
      </c>
      <c r="I395">
        <v>0</v>
      </c>
      <c r="J395" t="s">
        <v>0</v>
      </c>
    </row>
    <row r="396" spans="1:10" hidden="1" x14ac:dyDescent="0.3">
      <c r="A396">
        <v>28</v>
      </c>
      <c r="B396">
        <v>1200000</v>
      </c>
      <c r="C396">
        <v>4</v>
      </c>
      <c r="D396">
        <v>0</v>
      </c>
      <c r="E396">
        <v>1</v>
      </c>
      <c r="F396">
        <v>0</v>
      </c>
      <c r="G396">
        <v>0</v>
      </c>
      <c r="H396">
        <v>0</v>
      </c>
      <c r="I396">
        <v>1</v>
      </c>
      <c r="J396" t="s">
        <v>0</v>
      </c>
    </row>
    <row r="397" spans="1:10" x14ac:dyDescent="0.3">
      <c r="A397">
        <v>32</v>
      </c>
      <c r="B397">
        <v>800000</v>
      </c>
      <c r="C397">
        <v>5</v>
      </c>
      <c r="D397">
        <v>1</v>
      </c>
      <c r="E397">
        <v>1</v>
      </c>
      <c r="F397">
        <v>0</v>
      </c>
      <c r="G397">
        <v>0</v>
      </c>
      <c r="H397">
        <v>0</v>
      </c>
      <c r="I397">
        <v>0</v>
      </c>
      <c r="J397" t="s">
        <v>0</v>
      </c>
    </row>
    <row r="398" spans="1:10" hidden="1" x14ac:dyDescent="0.3">
      <c r="A398">
        <v>33</v>
      </c>
      <c r="B398">
        <v>650000</v>
      </c>
      <c r="C398">
        <v>6</v>
      </c>
      <c r="D398">
        <v>1</v>
      </c>
      <c r="E398">
        <v>1</v>
      </c>
      <c r="F398">
        <v>1</v>
      </c>
      <c r="G398">
        <v>0</v>
      </c>
      <c r="H398">
        <v>0</v>
      </c>
      <c r="I398">
        <v>1</v>
      </c>
      <c r="J398" t="s">
        <v>0</v>
      </c>
    </row>
    <row r="399" spans="1:10" x14ac:dyDescent="0.3">
      <c r="A399">
        <v>25</v>
      </c>
      <c r="B399">
        <v>750000</v>
      </c>
      <c r="C399">
        <v>5</v>
      </c>
      <c r="D399">
        <v>1</v>
      </c>
      <c r="E399">
        <v>1</v>
      </c>
      <c r="F399">
        <v>0</v>
      </c>
      <c r="G399">
        <v>0</v>
      </c>
      <c r="H399">
        <v>0</v>
      </c>
      <c r="I399">
        <v>0</v>
      </c>
      <c r="J399" t="s">
        <v>0</v>
      </c>
    </row>
    <row r="400" spans="1:10" x14ac:dyDescent="0.3">
      <c r="A400">
        <v>28</v>
      </c>
      <c r="B400">
        <v>1250000</v>
      </c>
      <c r="C400">
        <v>5</v>
      </c>
      <c r="D400">
        <v>0</v>
      </c>
      <c r="E400">
        <v>1</v>
      </c>
      <c r="F400">
        <v>0</v>
      </c>
      <c r="G400">
        <v>1</v>
      </c>
      <c r="H400">
        <v>0</v>
      </c>
      <c r="I400">
        <v>0</v>
      </c>
      <c r="J400" t="s">
        <v>0</v>
      </c>
    </row>
    <row r="401" spans="1:10" x14ac:dyDescent="0.3">
      <c r="A401">
        <v>35</v>
      </c>
      <c r="B401">
        <v>800000</v>
      </c>
      <c r="C401">
        <v>5</v>
      </c>
      <c r="D401">
        <v>0</v>
      </c>
      <c r="E401">
        <v>0</v>
      </c>
      <c r="F401">
        <v>0</v>
      </c>
      <c r="G401">
        <v>0</v>
      </c>
      <c r="H401">
        <v>0</v>
      </c>
      <c r="I401">
        <v>0</v>
      </c>
      <c r="J401" t="s">
        <v>0</v>
      </c>
    </row>
    <row r="402" spans="1:10" x14ac:dyDescent="0.3">
      <c r="A402">
        <v>29</v>
      </c>
      <c r="B402">
        <v>1200000</v>
      </c>
      <c r="C402">
        <v>4</v>
      </c>
      <c r="D402">
        <v>0</v>
      </c>
      <c r="E402">
        <v>1</v>
      </c>
      <c r="F402">
        <v>0</v>
      </c>
      <c r="G402">
        <v>1</v>
      </c>
      <c r="H402">
        <v>0</v>
      </c>
      <c r="I402">
        <v>0</v>
      </c>
      <c r="J402" t="s">
        <v>0</v>
      </c>
    </row>
    <row r="403" spans="1:10" x14ac:dyDescent="0.3">
      <c r="A403">
        <v>34</v>
      </c>
      <c r="B403">
        <v>700000</v>
      </c>
      <c r="C403">
        <v>4</v>
      </c>
      <c r="D403">
        <v>0</v>
      </c>
      <c r="E403">
        <v>1</v>
      </c>
      <c r="F403">
        <v>0</v>
      </c>
      <c r="G403">
        <v>0</v>
      </c>
      <c r="H403">
        <v>0</v>
      </c>
      <c r="I403">
        <v>0</v>
      </c>
      <c r="J403" t="s">
        <v>0</v>
      </c>
    </row>
    <row r="404" spans="1:10" x14ac:dyDescent="0.3">
      <c r="A404">
        <v>31</v>
      </c>
      <c r="B404">
        <v>1250000</v>
      </c>
      <c r="C404">
        <v>3</v>
      </c>
      <c r="D404">
        <v>0</v>
      </c>
      <c r="E404">
        <v>1</v>
      </c>
      <c r="F404">
        <v>0</v>
      </c>
      <c r="G404">
        <v>0</v>
      </c>
      <c r="H404">
        <v>0</v>
      </c>
      <c r="I404">
        <v>0</v>
      </c>
      <c r="J404" t="s">
        <v>0</v>
      </c>
    </row>
    <row r="405" spans="1:10" x14ac:dyDescent="0.3">
      <c r="A405">
        <v>28</v>
      </c>
      <c r="B405">
        <v>800000</v>
      </c>
      <c r="C405">
        <v>8</v>
      </c>
      <c r="D405">
        <v>0</v>
      </c>
      <c r="E405">
        <v>1</v>
      </c>
      <c r="F405">
        <v>1</v>
      </c>
      <c r="G405">
        <v>0</v>
      </c>
      <c r="H405">
        <v>0</v>
      </c>
      <c r="I405">
        <v>0</v>
      </c>
      <c r="J405" t="s">
        <v>0</v>
      </c>
    </row>
    <row r="406" spans="1:10" hidden="1" x14ac:dyDescent="0.3">
      <c r="A406">
        <v>33</v>
      </c>
      <c r="B406">
        <v>650000</v>
      </c>
      <c r="C406">
        <v>5</v>
      </c>
      <c r="D406">
        <v>1</v>
      </c>
      <c r="E406">
        <v>1</v>
      </c>
      <c r="F406">
        <v>1</v>
      </c>
      <c r="G406">
        <v>0</v>
      </c>
      <c r="H406">
        <v>0</v>
      </c>
      <c r="I406">
        <v>1</v>
      </c>
      <c r="J406" t="s">
        <v>0</v>
      </c>
    </row>
    <row r="407" spans="1:10" x14ac:dyDescent="0.3">
      <c r="A407">
        <v>32</v>
      </c>
      <c r="B407">
        <v>850000</v>
      </c>
      <c r="C407">
        <v>6</v>
      </c>
      <c r="D407">
        <v>1</v>
      </c>
      <c r="E407">
        <v>1</v>
      </c>
      <c r="F407">
        <v>0</v>
      </c>
      <c r="G407">
        <v>0</v>
      </c>
      <c r="H407">
        <v>0</v>
      </c>
      <c r="I407">
        <v>0</v>
      </c>
      <c r="J407" t="s">
        <v>0</v>
      </c>
    </row>
    <row r="408" spans="1:10" hidden="1" x14ac:dyDescent="0.3">
      <c r="A408">
        <v>28</v>
      </c>
      <c r="B408">
        <v>1200000</v>
      </c>
      <c r="C408">
        <v>9</v>
      </c>
      <c r="D408">
        <v>0</v>
      </c>
      <c r="E408">
        <v>1</v>
      </c>
      <c r="F408">
        <v>0</v>
      </c>
      <c r="G408">
        <v>0</v>
      </c>
      <c r="H408">
        <v>0</v>
      </c>
      <c r="I408">
        <v>1</v>
      </c>
      <c r="J408" t="s">
        <v>0</v>
      </c>
    </row>
    <row r="409" spans="1:10" hidden="1" x14ac:dyDescent="0.3">
      <c r="A409">
        <v>25</v>
      </c>
      <c r="B409">
        <v>1700000</v>
      </c>
      <c r="C409">
        <v>6</v>
      </c>
      <c r="D409">
        <v>0</v>
      </c>
      <c r="E409">
        <v>0</v>
      </c>
      <c r="F409">
        <v>0</v>
      </c>
      <c r="G409">
        <v>1</v>
      </c>
      <c r="H409">
        <v>0</v>
      </c>
      <c r="I409">
        <v>1</v>
      </c>
      <c r="J409" t="s">
        <v>0</v>
      </c>
    </row>
    <row r="410" spans="1:10" x14ac:dyDescent="0.3">
      <c r="A410">
        <v>31</v>
      </c>
      <c r="B410">
        <v>350000</v>
      </c>
      <c r="C410">
        <v>2</v>
      </c>
      <c r="D410">
        <v>1</v>
      </c>
      <c r="E410">
        <v>0</v>
      </c>
      <c r="F410">
        <v>0</v>
      </c>
      <c r="G410">
        <v>0</v>
      </c>
      <c r="H410">
        <v>0</v>
      </c>
      <c r="I410">
        <v>0</v>
      </c>
      <c r="J410" t="s">
        <v>0</v>
      </c>
    </row>
    <row r="411" spans="1:10" x14ac:dyDescent="0.3">
      <c r="A411">
        <v>28</v>
      </c>
      <c r="B411">
        <v>700000</v>
      </c>
      <c r="C411">
        <v>5</v>
      </c>
      <c r="D411">
        <v>0</v>
      </c>
      <c r="E411">
        <v>1</v>
      </c>
      <c r="F411">
        <v>0</v>
      </c>
      <c r="G411">
        <v>0</v>
      </c>
      <c r="H411">
        <v>0</v>
      </c>
      <c r="I411">
        <v>0</v>
      </c>
      <c r="J411" t="s">
        <v>0</v>
      </c>
    </row>
    <row r="412" spans="1:10" x14ac:dyDescent="0.3">
      <c r="A412">
        <v>28</v>
      </c>
      <c r="B412">
        <v>550000</v>
      </c>
      <c r="C412">
        <v>4</v>
      </c>
      <c r="D412">
        <v>0</v>
      </c>
      <c r="E412">
        <v>0</v>
      </c>
      <c r="F412">
        <v>0</v>
      </c>
      <c r="G412">
        <v>0</v>
      </c>
      <c r="H412">
        <v>0</v>
      </c>
      <c r="I412">
        <v>0</v>
      </c>
      <c r="J412" t="s">
        <v>0</v>
      </c>
    </row>
    <row r="413" spans="1:10" x14ac:dyDescent="0.3">
      <c r="A413">
        <v>28</v>
      </c>
      <c r="B413">
        <v>600000</v>
      </c>
      <c r="C413">
        <v>6</v>
      </c>
      <c r="D413">
        <v>1</v>
      </c>
      <c r="E413">
        <v>1</v>
      </c>
      <c r="F413">
        <v>0</v>
      </c>
      <c r="G413">
        <v>0</v>
      </c>
      <c r="H413">
        <v>0</v>
      </c>
      <c r="I413">
        <v>0</v>
      </c>
      <c r="J413" t="s">
        <v>0</v>
      </c>
    </row>
    <row r="414" spans="1:10" x14ac:dyDescent="0.3">
      <c r="A414">
        <v>28</v>
      </c>
      <c r="B414">
        <v>300000</v>
      </c>
      <c r="C414">
        <v>7</v>
      </c>
      <c r="D414">
        <v>1</v>
      </c>
      <c r="E414">
        <v>1</v>
      </c>
      <c r="F414">
        <v>1</v>
      </c>
      <c r="G414">
        <v>0</v>
      </c>
      <c r="H414">
        <v>0</v>
      </c>
      <c r="I414">
        <v>0</v>
      </c>
      <c r="J414" t="s">
        <v>0</v>
      </c>
    </row>
    <row r="415" spans="1:10" hidden="1" x14ac:dyDescent="0.3">
      <c r="A415">
        <v>25</v>
      </c>
      <c r="B415">
        <v>1700000</v>
      </c>
      <c r="C415">
        <v>5</v>
      </c>
      <c r="D415">
        <v>0</v>
      </c>
      <c r="E415">
        <v>1</v>
      </c>
      <c r="F415">
        <v>0</v>
      </c>
      <c r="G415">
        <v>1</v>
      </c>
      <c r="H415">
        <v>0</v>
      </c>
      <c r="I415">
        <v>1</v>
      </c>
      <c r="J415" t="s">
        <v>0</v>
      </c>
    </row>
    <row r="416" spans="1:10" hidden="1" x14ac:dyDescent="0.3">
      <c r="A416">
        <v>33</v>
      </c>
      <c r="B416">
        <v>1400000</v>
      </c>
      <c r="C416">
        <v>4</v>
      </c>
      <c r="D416">
        <v>0</v>
      </c>
      <c r="E416">
        <v>1</v>
      </c>
      <c r="F416">
        <v>0</v>
      </c>
      <c r="G416">
        <v>0</v>
      </c>
      <c r="H416">
        <v>1</v>
      </c>
      <c r="I416">
        <v>1</v>
      </c>
      <c r="J416" t="s">
        <v>0</v>
      </c>
    </row>
    <row r="417" spans="1:10" x14ac:dyDescent="0.3">
      <c r="A417">
        <v>28</v>
      </c>
      <c r="B417">
        <v>600000</v>
      </c>
      <c r="C417">
        <v>5</v>
      </c>
      <c r="D417">
        <v>1</v>
      </c>
      <c r="E417">
        <v>1</v>
      </c>
      <c r="F417">
        <v>0</v>
      </c>
      <c r="G417">
        <v>0</v>
      </c>
      <c r="H417">
        <v>0</v>
      </c>
      <c r="I417">
        <v>0</v>
      </c>
      <c r="J417" t="s">
        <v>0</v>
      </c>
    </row>
    <row r="418" spans="1:10" hidden="1" x14ac:dyDescent="0.3">
      <c r="A418">
        <v>31</v>
      </c>
      <c r="B418">
        <v>1400000</v>
      </c>
      <c r="C418">
        <v>7</v>
      </c>
      <c r="D418">
        <v>0</v>
      </c>
      <c r="E418">
        <v>1</v>
      </c>
      <c r="F418">
        <v>0</v>
      </c>
      <c r="G418">
        <v>0</v>
      </c>
      <c r="H418">
        <v>1</v>
      </c>
      <c r="I418">
        <v>1</v>
      </c>
      <c r="J418" t="s">
        <v>0</v>
      </c>
    </row>
    <row r="419" spans="1:10" hidden="1" x14ac:dyDescent="0.3">
      <c r="A419">
        <v>31</v>
      </c>
      <c r="B419">
        <v>1400000</v>
      </c>
      <c r="C419">
        <v>3</v>
      </c>
      <c r="D419">
        <v>0</v>
      </c>
      <c r="E419">
        <v>1</v>
      </c>
      <c r="F419">
        <v>0</v>
      </c>
      <c r="G419">
        <v>1</v>
      </c>
      <c r="H419">
        <v>1</v>
      </c>
      <c r="I419">
        <v>1</v>
      </c>
      <c r="J419" t="s">
        <v>0</v>
      </c>
    </row>
    <row r="420" spans="1:10" x14ac:dyDescent="0.3">
      <c r="A420">
        <v>34</v>
      </c>
      <c r="B420">
        <v>1000000</v>
      </c>
      <c r="C420">
        <v>3</v>
      </c>
      <c r="D420">
        <v>0</v>
      </c>
      <c r="E420">
        <v>1</v>
      </c>
      <c r="F420">
        <v>1</v>
      </c>
      <c r="G420">
        <v>0</v>
      </c>
      <c r="H420">
        <v>0</v>
      </c>
      <c r="I420">
        <v>0</v>
      </c>
      <c r="J420" t="s">
        <v>0</v>
      </c>
    </row>
    <row r="421" spans="1:10" x14ac:dyDescent="0.3">
      <c r="A421">
        <v>25</v>
      </c>
      <c r="B421">
        <v>1150000</v>
      </c>
      <c r="C421">
        <v>4</v>
      </c>
      <c r="D421">
        <v>0</v>
      </c>
      <c r="E421">
        <v>0</v>
      </c>
      <c r="F421">
        <v>0</v>
      </c>
      <c r="G421">
        <v>0</v>
      </c>
      <c r="H421">
        <v>0</v>
      </c>
      <c r="I421">
        <v>0</v>
      </c>
      <c r="J421" t="s">
        <v>0</v>
      </c>
    </row>
    <row r="422" spans="1:10" x14ac:dyDescent="0.3">
      <c r="A422">
        <v>34</v>
      </c>
      <c r="B422">
        <v>1050000</v>
      </c>
      <c r="C422">
        <v>5</v>
      </c>
      <c r="D422">
        <v>0</v>
      </c>
      <c r="E422">
        <v>1</v>
      </c>
      <c r="F422">
        <v>0</v>
      </c>
      <c r="G422">
        <v>0</v>
      </c>
      <c r="H422">
        <v>0</v>
      </c>
      <c r="I422">
        <v>0</v>
      </c>
      <c r="J422" t="s">
        <v>0</v>
      </c>
    </row>
    <row r="423" spans="1:10" x14ac:dyDescent="0.3">
      <c r="A423">
        <v>28</v>
      </c>
      <c r="B423">
        <v>300000</v>
      </c>
      <c r="C423">
        <v>4</v>
      </c>
      <c r="D423">
        <v>1</v>
      </c>
      <c r="E423">
        <v>1</v>
      </c>
      <c r="F423">
        <v>0</v>
      </c>
      <c r="G423">
        <v>0</v>
      </c>
      <c r="H423">
        <v>0</v>
      </c>
      <c r="I423">
        <v>0</v>
      </c>
      <c r="J423" t="s">
        <v>0</v>
      </c>
    </row>
    <row r="424" spans="1:10" hidden="1" x14ac:dyDescent="0.3">
      <c r="A424">
        <v>34</v>
      </c>
      <c r="B424">
        <v>1500000</v>
      </c>
      <c r="C424">
        <v>7</v>
      </c>
      <c r="D424">
        <v>0</v>
      </c>
      <c r="E424">
        <v>1</v>
      </c>
      <c r="F424">
        <v>1</v>
      </c>
      <c r="G424">
        <v>1</v>
      </c>
      <c r="H424">
        <v>1</v>
      </c>
      <c r="I424">
        <v>1</v>
      </c>
      <c r="J424" t="s">
        <v>0</v>
      </c>
    </row>
    <row r="425" spans="1:10" hidden="1" x14ac:dyDescent="0.3">
      <c r="A425">
        <v>25</v>
      </c>
      <c r="B425">
        <v>1400000</v>
      </c>
      <c r="C425">
        <v>5</v>
      </c>
      <c r="D425">
        <v>0</v>
      </c>
      <c r="E425">
        <v>1</v>
      </c>
      <c r="F425">
        <v>0</v>
      </c>
      <c r="G425">
        <v>0</v>
      </c>
      <c r="H425">
        <v>1</v>
      </c>
      <c r="I425">
        <v>1</v>
      </c>
      <c r="J425" t="s">
        <v>0</v>
      </c>
    </row>
    <row r="426" spans="1:10" hidden="1" x14ac:dyDescent="0.3">
      <c r="A426">
        <v>29</v>
      </c>
      <c r="B426">
        <v>1100000</v>
      </c>
      <c r="C426">
        <v>7</v>
      </c>
      <c r="D426">
        <v>0</v>
      </c>
      <c r="E426">
        <v>1</v>
      </c>
      <c r="F426">
        <v>1</v>
      </c>
      <c r="G426">
        <v>1</v>
      </c>
      <c r="H426">
        <v>0</v>
      </c>
      <c r="I426">
        <v>1</v>
      </c>
      <c r="J426" t="s">
        <v>0</v>
      </c>
    </row>
    <row r="427" spans="1:10" x14ac:dyDescent="0.3">
      <c r="A427">
        <v>29</v>
      </c>
      <c r="B427">
        <v>350000</v>
      </c>
      <c r="C427">
        <v>5</v>
      </c>
      <c r="D427">
        <v>0</v>
      </c>
      <c r="E427">
        <v>1</v>
      </c>
      <c r="F427">
        <v>1</v>
      </c>
      <c r="G427">
        <v>0</v>
      </c>
      <c r="H427">
        <v>0</v>
      </c>
      <c r="I427">
        <v>0</v>
      </c>
      <c r="J427" t="s">
        <v>0</v>
      </c>
    </row>
    <row r="428" spans="1:10" x14ac:dyDescent="0.3">
      <c r="A428">
        <v>25</v>
      </c>
      <c r="B428">
        <v>500000</v>
      </c>
      <c r="C428">
        <v>5</v>
      </c>
      <c r="D428">
        <v>0</v>
      </c>
      <c r="E428">
        <v>1</v>
      </c>
      <c r="F428">
        <v>0</v>
      </c>
      <c r="G428">
        <v>0</v>
      </c>
      <c r="H428">
        <v>0</v>
      </c>
      <c r="I428">
        <v>0</v>
      </c>
      <c r="J428" t="s">
        <v>0</v>
      </c>
    </row>
    <row r="429" spans="1:10" hidden="1" x14ac:dyDescent="0.3">
      <c r="A429">
        <v>25</v>
      </c>
      <c r="B429">
        <v>1400000</v>
      </c>
      <c r="C429">
        <v>7</v>
      </c>
      <c r="D429">
        <v>0</v>
      </c>
      <c r="E429">
        <v>1</v>
      </c>
      <c r="F429">
        <v>0</v>
      </c>
      <c r="G429">
        <v>1</v>
      </c>
      <c r="H429">
        <v>1</v>
      </c>
      <c r="I429">
        <v>1</v>
      </c>
      <c r="J429" t="s">
        <v>0</v>
      </c>
    </row>
    <row r="430" spans="1:10" x14ac:dyDescent="0.3">
      <c r="A430">
        <v>28</v>
      </c>
      <c r="B430">
        <v>700000</v>
      </c>
      <c r="C430">
        <v>5</v>
      </c>
      <c r="D430">
        <v>0</v>
      </c>
      <c r="E430">
        <v>1</v>
      </c>
      <c r="F430">
        <v>1</v>
      </c>
      <c r="G430">
        <v>0</v>
      </c>
      <c r="H430">
        <v>0</v>
      </c>
      <c r="I430">
        <v>0</v>
      </c>
      <c r="J430" t="s">
        <v>0</v>
      </c>
    </row>
    <row r="431" spans="1:10" x14ac:dyDescent="0.3">
      <c r="A431">
        <v>32</v>
      </c>
      <c r="B431">
        <v>350000</v>
      </c>
      <c r="C431">
        <v>2</v>
      </c>
      <c r="D431">
        <v>1</v>
      </c>
      <c r="E431">
        <v>1</v>
      </c>
      <c r="F431">
        <v>0</v>
      </c>
      <c r="G431">
        <v>0</v>
      </c>
      <c r="H431">
        <v>0</v>
      </c>
      <c r="I431">
        <v>0</v>
      </c>
      <c r="J431" t="s">
        <v>0</v>
      </c>
    </row>
    <row r="432" spans="1:10" hidden="1" x14ac:dyDescent="0.3">
      <c r="A432">
        <v>26</v>
      </c>
      <c r="B432">
        <v>1300000</v>
      </c>
      <c r="C432">
        <v>7</v>
      </c>
      <c r="D432">
        <v>0</v>
      </c>
      <c r="E432">
        <v>1</v>
      </c>
      <c r="F432">
        <v>0</v>
      </c>
      <c r="G432">
        <v>0</v>
      </c>
      <c r="H432">
        <v>0</v>
      </c>
      <c r="I432">
        <v>1</v>
      </c>
      <c r="J432" t="s">
        <v>0</v>
      </c>
    </row>
    <row r="433" spans="1:10" x14ac:dyDescent="0.3">
      <c r="A433">
        <v>28</v>
      </c>
      <c r="B433">
        <v>500000</v>
      </c>
      <c r="C433">
        <v>6</v>
      </c>
      <c r="D433">
        <v>0</v>
      </c>
      <c r="E433">
        <v>1</v>
      </c>
      <c r="F433">
        <v>0</v>
      </c>
      <c r="G433">
        <v>0</v>
      </c>
      <c r="H433">
        <v>0</v>
      </c>
      <c r="I433">
        <v>0</v>
      </c>
      <c r="J433" t="s">
        <v>0</v>
      </c>
    </row>
    <row r="434" spans="1:10" x14ac:dyDescent="0.3">
      <c r="A434">
        <v>34</v>
      </c>
      <c r="B434">
        <v>500000</v>
      </c>
      <c r="C434">
        <v>5</v>
      </c>
      <c r="D434">
        <v>0</v>
      </c>
      <c r="E434">
        <v>1</v>
      </c>
      <c r="F434">
        <v>0</v>
      </c>
      <c r="G434">
        <v>0</v>
      </c>
      <c r="H434">
        <v>0</v>
      </c>
      <c r="I434">
        <v>0</v>
      </c>
      <c r="J434" t="s">
        <v>0</v>
      </c>
    </row>
    <row r="435" spans="1:10" x14ac:dyDescent="0.3">
      <c r="A435">
        <v>28</v>
      </c>
      <c r="B435">
        <v>1100000</v>
      </c>
      <c r="C435">
        <v>4</v>
      </c>
      <c r="D435">
        <v>0</v>
      </c>
      <c r="E435">
        <v>1</v>
      </c>
      <c r="F435">
        <v>0</v>
      </c>
      <c r="G435">
        <v>0</v>
      </c>
      <c r="H435">
        <v>0</v>
      </c>
      <c r="I435">
        <v>0</v>
      </c>
      <c r="J435" t="s">
        <v>0</v>
      </c>
    </row>
    <row r="436" spans="1:10" hidden="1" x14ac:dyDescent="0.3">
      <c r="A436">
        <v>34</v>
      </c>
      <c r="B436">
        <v>1300000</v>
      </c>
      <c r="C436">
        <v>7</v>
      </c>
      <c r="D436">
        <v>0</v>
      </c>
      <c r="E436">
        <v>1</v>
      </c>
      <c r="F436">
        <v>0</v>
      </c>
      <c r="G436">
        <v>0</v>
      </c>
      <c r="H436">
        <v>0</v>
      </c>
      <c r="I436">
        <v>1</v>
      </c>
      <c r="J436" t="s">
        <v>0</v>
      </c>
    </row>
    <row r="437" spans="1:10" hidden="1" x14ac:dyDescent="0.3">
      <c r="A437">
        <v>34</v>
      </c>
      <c r="B437">
        <v>1500000</v>
      </c>
      <c r="C437">
        <v>4</v>
      </c>
      <c r="D437">
        <v>0</v>
      </c>
      <c r="E437">
        <v>1</v>
      </c>
      <c r="F437">
        <v>1</v>
      </c>
      <c r="G437">
        <v>1</v>
      </c>
      <c r="H437">
        <v>1</v>
      </c>
      <c r="I437">
        <v>1</v>
      </c>
      <c r="J437" t="s">
        <v>0</v>
      </c>
    </row>
    <row r="438" spans="1:10" x14ac:dyDescent="0.3">
      <c r="A438">
        <v>28</v>
      </c>
      <c r="B438">
        <v>1200000</v>
      </c>
      <c r="C438">
        <v>4</v>
      </c>
      <c r="D438">
        <v>0</v>
      </c>
      <c r="E438">
        <v>1</v>
      </c>
      <c r="F438">
        <v>1</v>
      </c>
      <c r="G438">
        <v>0</v>
      </c>
      <c r="H438">
        <v>1</v>
      </c>
      <c r="I438">
        <v>0</v>
      </c>
      <c r="J438" t="s">
        <v>0</v>
      </c>
    </row>
    <row r="439" spans="1:10" x14ac:dyDescent="0.3">
      <c r="A439">
        <v>27</v>
      </c>
      <c r="B439">
        <v>800000</v>
      </c>
      <c r="C439">
        <v>7</v>
      </c>
      <c r="D439">
        <v>0</v>
      </c>
      <c r="E439">
        <v>0</v>
      </c>
      <c r="F439">
        <v>0</v>
      </c>
      <c r="G439">
        <v>0</v>
      </c>
      <c r="H439">
        <v>0</v>
      </c>
      <c r="I439">
        <v>0</v>
      </c>
      <c r="J439" t="s">
        <v>0</v>
      </c>
    </row>
    <row r="440" spans="1:10" x14ac:dyDescent="0.3">
      <c r="A440">
        <v>33</v>
      </c>
      <c r="B440">
        <v>400000</v>
      </c>
      <c r="C440">
        <v>5</v>
      </c>
      <c r="D440">
        <v>1</v>
      </c>
      <c r="E440">
        <v>1</v>
      </c>
      <c r="F440">
        <v>1</v>
      </c>
      <c r="G440">
        <v>0</v>
      </c>
      <c r="H440">
        <v>0</v>
      </c>
      <c r="I440">
        <v>0</v>
      </c>
      <c r="J440" t="s">
        <v>0</v>
      </c>
    </row>
    <row r="441" spans="1:10" x14ac:dyDescent="0.3">
      <c r="A441">
        <v>28</v>
      </c>
      <c r="B441">
        <v>800000</v>
      </c>
      <c r="C441">
        <v>3</v>
      </c>
      <c r="D441">
        <v>0</v>
      </c>
      <c r="E441">
        <v>1</v>
      </c>
      <c r="F441">
        <v>0</v>
      </c>
      <c r="G441">
        <v>0</v>
      </c>
      <c r="H441">
        <v>0</v>
      </c>
      <c r="I441">
        <v>0</v>
      </c>
      <c r="J441" t="s">
        <v>0</v>
      </c>
    </row>
    <row r="442" spans="1:10" hidden="1" x14ac:dyDescent="0.3">
      <c r="A442">
        <v>34</v>
      </c>
      <c r="B442">
        <v>1000000</v>
      </c>
      <c r="C442">
        <v>4</v>
      </c>
      <c r="D442">
        <v>0</v>
      </c>
      <c r="E442">
        <v>1</v>
      </c>
      <c r="F442">
        <v>0</v>
      </c>
      <c r="G442">
        <v>0</v>
      </c>
      <c r="H442">
        <v>0</v>
      </c>
      <c r="I442">
        <v>1</v>
      </c>
      <c r="J442" t="s">
        <v>0</v>
      </c>
    </row>
    <row r="443" spans="1:10" hidden="1" x14ac:dyDescent="0.3">
      <c r="A443">
        <v>34</v>
      </c>
      <c r="B443">
        <v>850000</v>
      </c>
      <c r="C443">
        <v>5</v>
      </c>
      <c r="D443">
        <v>0</v>
      </c>
      <c r="E443">
        <v>1</v>
      </c>
      <c r="F443">
        <v>0</v>
      </c>
      <c r="G443">
        <v>0</v>
      </c>
      <c r="H443">
        <v>0</v>
      </c>
      <c r="I443">
        <v>1</v>
      </c>
      <c r="J443" t="s">
        <v>0</v>
      </c>
    </row>
    <row r="444" spans="1:10" x14ac:dyDescent="0.3">
      <c r="A444">
        <v>29</v>
      </c>
      <c r="B444">
        <v>1100000</v>
      </c>
      <c r="C444">
        <v>9</v>
      </c>
      <c r="D444">
        <v>0</v>
      </c>
      <c r="E444">
        <v>1</v>
      </c>
      <c r="F444">
        <v>0</v>
      </c>
      <c r="G444">
        <v>0</v>
      </c>
      <c r="H444">
        <v>0</v>
      </c>
      <c r="I444">
        <v>0</v>
      </c>
      <c r="J444" t="s">
        <v>0</v>
      </c>
    </row>
    <row r="445" spans="1:10" hidden="1" x14ac:dyDescent="0.3">
      <c r="A445">
        <v>25</v>
      </c>
      <c r="B445">
        <v>1150000</v>
      </c>
      <c r="C445">
        <v>6</v>
      </c>
      <c r="D445">
        <v>0</v>
      </c>
      <c r="E445">
        <v>0</v>
      </c>
      <c r="F445">
        <v>0</v>
      </c>
      <c r="G445">
        <v>0</v>
      </c>
      <c r="H445">
        <v>0</v>
      </c>
      <c r="I445">
        <v>1</v>
      </c>
      <c r="J445" t="s">
        <v>0</v>
      </c>
    </row>
    <row r="446" spans="1:10" hidden="1" x14ac:dyDescent="0.3">
      <c r="A446">
        <v>28</v>
      </c>
      <c r="B446">
        <v>700000</v>
      </c>
      <c r="C446">
        <v>4</v>
      </c>
      <c r="D446">
        <v>0</v>
      </c>
      <c r="E446">
        <v>1</v>
      </c>
      <c r="F446">
        <v>1</v>
      </c>
      <c r="G446">
        <v>0</v>
      </c>
      <c r="H446">
        <v>0</v>
      </c>
      <c r="I446">
        <v>1</v>
      </c>
      <c r="J446" t="s">
        <v>0</v>
      </c>
    </row>
    <row r="447" spans="1:10" x14ac:dyDescent="0.3">
      <c r="A447">
        <v>27</v>
      </c>
      <c r="B447">
        <v>1050000</v>
      </c>
      <c r="C447">
        <v>6</v>
      </c>
      <c r="D447">
        <v>1</v>
      </c>
      <c r="E447">
        <v>1</v>
      </c>
      <c r="F447">
        <v>1</v>
      </c>
      <c r="G447">
        <v>0</v>
      </c>
      <c r="H447">
        <v>0</v>
      </c>
      <c r="I447">
        <v>0</v>
      </c>
      <c r="J447" t="s">
        <v>0</v>
      </c>
    </row>
    <row r="448" spans="1:10" x14ac:dyDescent="0.3">
      <c r="A448">
        <v>28</v>
      </c>
      <c r="B448">
        <v>700000</v>
      </c>
      <c r="C448">
        <v>2</v>
      </c>
      <c r="D448">
        <v>0</v>
      </c>
      <c r="E448">
        <v>1</v>
      </c>
      <c r="F448">
        <v>0</v>
      </c>
      <c r="G448">
        <v>0</v>
      </c>
      <c r="H448">
        <v>0</v>
      </c>
      <c r="I448">
        <v>0</v>
      </c>
      <c r="J448" t="s">
        <v>0</v>
      </c>
    </row>
    <row r="449" spans="1:10" x14ac:dyDescent="0.3">
      <c r="A449">
        <v>29</v>
      </c>
      <c r="B449">
        <v>500000</v>
      </c>
      <c r="C449">
        <v>3</v>
      </c>
      <c r="D449">
        <v>0</v>
      </c>
      <c r="E449">
        <v>1</v>
      </c>
      <c r="F449">
        <v>0</v>
      </c>
      <c r="G449">
        <v>0</v>
      </c>
      <c r="H449">
        <v>0</v>
      </c>
      <c r="I449">
        <v>0</v>
      </c>
      <c r="J449" t="s">
        <v>0</v>
      </c>
    </row>
    <row r="450" spans="1:10" hidden="1" x14ac:dyDescent="0.3">
      <c r="A450">
        <v>33</v>
      </c>
      <c r="B450">
        <v>1500000</v>
      </c>
      <c r="C450">
        <v>4</v>
      </c>
      <c r="D450">
        <v>0</v>
      </c>
      <c r="E450">
        <v>1</v>
      </c>
      <c r="F450">
        <v>1</v>
      </c>
      <c r="G450">
        <v>1</v>
      </c>
      <c r="H450">
        <v>1</v>
      </c>
      <c r="I450">
        <v>1</v>
      </c>
      <c r="J450" t="s">
        <v>0</v>
      </c>
    </row>
    <row r="451" spans="1:10" hidden="1" x14ac:dyDescent="0.3">
      <c r="A451">
        <v>31</v>
      </c>
      <c r="B451">
        <v>500000</v>
      </c>
      <c r="C451">
        <v>3</v>
      </c>
      <c r="D451">
        <v>0</v>
      </c>
      <c r="E451">
        <v>1</v>
      </c>
      <c r="F451">
        <v>1</v>
      </c>
      <c r="G451">
        <v>0</v>
      </c>
      <c r="H451">
        <v>0</v>
      </c>
      <c r="I451">
        <v>1</v>
      </c>
      <c r="J451" t="s">
        <v>0</v>
      </c>
    </row>
    <row r="452" spans="1:10" x14ac:dyDescent="0.3">
      <c r="A452">
        <v>31</v>
      </c>
      <c r="B452">
        <v>1250000</v>
      </c>
      <c r="C452">
        <v>6</v>
      </c>
      <c r="D452">
        <v>0</v>
      </c>
      <c r="E452">
        <v>1</v>
      </c>
      <c r="F452">
        <v>0</v>
      </c>
      <c r="G452">
        <v>0</v>
      </c>
      <c r="H452">
        <v>1</v>
      </c>
      <c r="I452">
        <v>0</v>
      </c>
      <c r="J452" t="s">
        <v>0</v>
      </c>
    </row>
    <row r="453" spans="1:10" x14ac:dyDescent="0.3">
      <c r="A453">
        <v>28</v>
      </c>
      <c r="B453">
        <v>800000</v>
      </c>
      <c r="C453">
        <v>4</v>
      </c>
      <c r="D453">
        <v>0</v>
      </c>
      <c r="E453">
        <v>1</v>
      </c>
      <c r="F453">
        <v>0</v>
      </c>
      <c r="G453">
        <v>0</v>
      </c>
      <c r="H453">
        <v>0</v>
      </c>
      <c r="I453">
        <v>0</v>
      </c>
      <c r="J453" t="s">
        <v>0</v>
      </c>
    </row>
    <row r="454" spans="1:10" hidden="1" x14ac:dyDescent="0.3">
      <c r="A454">
        <v>34</v>
      </c>
      <c r="B454">
        <v>1300000</v>
      </c>
      <c r="C454">
        <v>4</v>
      </c>
      <c r="D454">
        <v>0</v>
      </c>
      <c r="E454">
        <v>1</v>
      </c>
      <c r="F454">
        <v>1</v>
      </c>
      <c r="G454">
        <v>0</v>
      </c>
      <c r="H454">
        <v>0</v>
      </c>
      <c r="I454">
        <v>1</v>
      </c>
      <c r="J454" t="s">
        <v>0</v>
      </c>
    </row>
    <row r="455" spans="1:10" x14ac:dyDescent="0.3">
      <c r="A455">
        <v>31</v>
      </c>
      <c r="B455">
        <v>1100000</v>
      </c>
      <c r="C455">
        <v>3</v>
      </c>
      <c r="D455">
        <v>0</v>
      </c>
      <c r="E455">
        <v>1</v>
      </c>
      <c r="F455">
        <v>0</v>
      </c>
      <c r="G455">
        <v>0</v>
      </c>
      <c r="H455">
        <v>0</v>
      </c>
      <c r="I455">
        <v>0</v>
      </c>
      <c r="J455" t="s">
        <v>0</v>
      </c>
    </row>
    <row r="456" spans="1:10" x14ac:dyDescent="0.3">
      <c r="A456">
        <v>28</v>
      </c>
      <c r="B456">
        <v>300000</v>
      </c>
      <c r="C456">
        <v>4</v>
      </c>
      <c r="D456">
        <v>1</v>
      </c>
      <c r="E456">
        <v>1</v>
      </c>
      <c r="F456">
        <v>0</v>
      </c>
      <c r="G456">
        <v>0</v>
      </c>
      <c r="H456">
        <v>0</v>
      </c>
      <c r="I456">
        <v>0</v>
      </c>
      <c r="J456" t="s">
        <v>0</v>
      </c>
    </row>
    <row r="457" spans="1:10" x14ac:dyDescent="0.3">
      <c r="A457">
        <v>35</v>
      </c>
      <c r="B457">
        <v>1100000</v>
      </c>
      <c r="C457">
        <v>4</v>
      </c>
      <c r="D457">
        <v>1</v>
      </c>
      <c r="E457">
        <v>1</v>
      </c>
      <c r="F457">
        <v>0</v>
      </c>
      <c r="G457">
        <v>0</v>
      </c>
      <c r="H457">
        <v>0</v>
      </c>
      <c r="I457">
        <v>0</v>
      </c>
      <c r="J457" t="s">
        <v>0</v>
      </c>
    </row>
    <row r="458" spans="1:10" hidden="1" x14ac:dyDescent="0.3">
      <c r="A458">
        <v>26</v>
      </c>
      <c r="B458">
        <v>1500000</v>
      </c>
      <c r="C458">
        <v>5</v>
      </c>
      <c r="D458">
        <v>0</v>
      </c>
      <c r="E458">
        <v>1</v>
      </c>
      <c r="F458">
        <v>1</v>
      </c>
      <c r="G458">
        <v>1</v>
      </c>
      <c r="H458">
        <v>1</v>
      </c>
      <c r="I458">
        <v>1</v>
      </c>
      <c r="J458" t="s">
        <v>0</v>
      </c>
    </row>
    <row r="459" spans="1:10" x14ac:dyDescent="0.3">
      <c r="A459">
        <v>25</v>
      </c>
      <c r="B459">
        <v>1150000</v>
      </c>
      <c r="C459">
        <v>4</v>
      </c>
      <c r="D459">
        <v>0</v>
      </c>
      <c r="E459">
        <v>0</v>
      </c>
      <c r="F459">
        <v>0</v>
      </c>
      <c r="G459">
        <v>0</v>
      </c>
      <c r="H459">
        <v>0</v>
      </c>
      <c r="I459">
        <v>0</v>
      </c>
      <c r="J459" t="s">
        <v>0</v>
      </c>
    </row>
    <row r="460" spans="1:10" x14ac:dyDescent="0.3">
      <c r="A460">
        <v>26</v>
      </c>
      <c r="B460">
        <v>750000</v>
      </c>
      <c r="C460">
        <v>3</v>
      </c>
      <c r="D460">
        <v>0</v>
      </c>
      <c r="E460">
        <v>1</v>
      </c>
      <c r="F460">
        <v>1</v>
      </c>
      <c r="G460">
        <v>0</v>
      </c>
      <c r="H460">
        <v>0</v>
      </c>
      <c r="I460">
        <v>0</v>
      </c>
      <c r="J460" t="s">
        <v>0</v>
      </c>
    </row>
    <row r="461" spans="1:10" hidden="1" x14ac:dyDescent="0.3">
      <c r="A461">
        <v>34</v>
      </c>
      <c r="B461">
        <v>1500000</v>
      </c>
      <c r="C461">
        <v>5</v>
      </c>
      <c r="D461">
        <v>0</v>
      </c>
      <c r="E461">
        <v>1</v>
      </c>
      <c r="F461">
        <v>0</v>
      </c>
      <c r="G461">
        <v>1</v>
      </c>
      <c r="H461">
        <v>1</v>
      </c>
      <c r="I461">
        <v>1</v>
      </c>
      <c r="J461" t="s">
        <v>0</v>
      </c>
    </row>
    <row r="462" spans="1:10" hidden="1" x14ac:dyDescent="0.3">
      <c r="A462">
        <v>25</v>
      </c>
      <c r="B462">
        <v>1350000</v>
      </c>
      <c r="C462">
        <v>6</v>
      </c>
      <c r="D462">
        <v>0</v>
      </c>
      <c r="E462">
        <v>0</v>
      </c>
      <c r="F462">
        <v>0</v>
      </c>
      <c r="G462">
        <v>0</v>
      </c>
      <c r="H462">
        <v>1</v>
      </c>
      <c r="I462">
        <v>1</v>
      </c>
      <c r="J462" t="s">
        <v>0</v>
      </c>
    </row>
    <row r="463" spans="1:10" hidden="1" x14ac:dyDescent="0.3">
      <c r="A463">
        <v>35</v>
      </c>
      <c r="B463">
        <v>900000</v>
      </c>
      <c r="C463">
        <v>4</v>
      </c>
      <c r="D463">
        <v>1</v>
      </c>
      <c r="E463">
        <v>1</v>
      </c>
      <c r="F463">
        <v>1</v>
      </c>
      <c r="G463">
        <v>0</v>
      </c>
      <c r="H463">
        <v>0</v>
      </c>
      <c r="I463">
        <v>1</v>
      </c>
      <c r="J463" t="s">
        <v>0</v>
      </c>
    </row>
    <row r="464" spans="1:10" x14ac:dyDescent="0.3">
      <c r="A464">
        <v>26</v>
      </c>
      <c r="B464">
        <v>1250000</v>
      </c>
      <c r="C464">
        <v>6</v>
      </c>
      <c r="D464">
        <v>0</v>
      </c>
      <c r="E464">
        <v>1</v>
      </c>
      <c r="F464">
        <v>1</v>
      </c>
      <c r="G464">
        <v>0</v>
      </c>
      <c r="H464">
        <v>0</v>
      </c>
      <c r="I464">
        <v>0</v>
      </c>
      <c r="J464" t="s">
        <v>0</v>
      </c>
    </row>
    <row r="465" spans="1:10" x14ac:dyDescent="0.3">
      <c r="A465">
        <v>33</v>
      </c>
      <c r="B465">
        <v>750000</v>
      </c>
      <c r="C465">
        <v>2</v>
      </c>
      <c r="D465">
        <v>0</v>
      </c>
      <c r="E465">
        <v>1</v>
      </c>
      <c r="F465">
        <v>1</v>
      </c>
      <c r="G465">
        <v>0</v>
      </c>
      <c r="H465">
        <v>0</v>
      </c>
      <c r="I465">
        <v>0</v>
      </c>
      <c r="J465" t="s">
        <v>0</v>
      </c>
    </row>
    <row r="466" spans="1:10" hidden="1" x14ac:dyDescent="0.3">
      <c r="A466">
        <v>34</v>
      </c>
      <c r="B466">
        <v>1500000</v>
      </c>
      <c r="C466">
        <v>5</v>
      </c>
      <c r="D466">
        <v>0</v>
      </c>
      <c r="E466">
        <v>1</v>
      </c>
      <c r="F466">
        <v>0</v>
      </c>
      <c r="G466">
        <v>1</v>
      </c>
      <c r="H466">
        <v>1</v>
      </c>
      <c r="I466">
        <v>1</v>
      </c>
      <c r="J466" t="s">
        <v>0</v>
      </c>
    </row>
    <row r="467" spans="1:10" hidden="1" x14ac:dyDescent="0.3">
      <c r="A467">
        <v>26</v>
      </c>
      <c r="B467">
        <v>1500000</v>
      </c>
      <c r="C467">
        <v>5</v>
      </c>
      <c r="D467">
        <v>0</v>
      </c>
      <c r="E467">
        <v>1</v>
      </c>
      <c r="F467">
        <v>0</v>
      </c>
      <c r="G467">
        <v>1</v>
      </c>
      <c r="H467">
        <v>1</v>
      </c>
      <c r="I467">
        <v>1</v>
      </c>
      <c r="J467" t="s">
        <v>0</v>
      </c>
    </row>
    <row r="468" spans="1:10" x14ac:dyDescent="0.3">
      <c r="A468">
        <v>28</v>
      </c>
      <c r="B468">
        <v>550000</v>
      </c>
      <c r="C468">
        <v>4</v>
      </c>
      <c r="D468">
        <v>0</v>
      </c>
      <c r="E468">
        <v>1</v>
      </c>
      <c r="F468">
        <v>0</v>
      </c>
      <c r="G468">
        <v>0</v>
      </c>
      <c r="H468">
        <v>0</v>
      </c>
      <c r="I468">
        <v>0</v>
      </c>
      <c r="J468" t="s">
        <v>0</v>
      </c>
    </row>
    <row r="469" spans="1:10" x14ac:dyDescent="0.3">
      <c r="A469">
        <v>26</v>
      </c>
      <c r="B469">
        <v>500000</v>
      </c>
      <c r="C469">
        <v>5</v>
      </c>
      <c r="D469">
        <v>1</v>
      </c>
      <c r="E469">
        <v>1</v>
      </c>
      <c r="F469">
        <v>0</v>
      </c>
      <c r="G469">
        <v>0</v>
      </c>
      <c r="H469">
        <v>0</v>
      </c>
      <c r="I469">
        <v>0</v>
      </c>
      <c r="J469" t="s">
        <v>0</v>
      </c>
    </row>
    <row r="470" spans="1:10" x14ac:dyDescent="0.3">
      <c r="A470">
        <v>28</v>
      </c>
      <c r="B470">
        <v>1200000</v>
      </c>
      <c r="C470">
        <v>5</v>
      </c>
      <c r="D470">
        <v>0</v>
      </c>
      <c r="E470">
        <v>1</v>
      </c>
      <c r="F470">
        <v>0</v>
      </c>
      <c r="G470">
        <v>0</v>
      </c>
      <c r="H470">
        <v>0</v>
      </c>
      <c r="I470">
        <v>0</v>
      </c>
      <c r="J470" t="s">
        <v>0</v>
      </c>
    </row>
    <row r="471" spans="1:10" hidden="1" x14ac:dyDescent="0.3">
      <c r="A471">
        <v>25</v>
      </c>
      <c r="B471">
        <v>1700000</v>
      </c>
      <c r="C471">
        <v>5</v>
      </c>
      <c r="D471">
        <v>0</v>
      </c>
      <c r="E471">
        <v>0</v>
      </c>
      <c r="F471">
        <v>0</v>
      </c>
      <c r="G471">
        <v>1</v>
      </c>
      <c r="H471">
        <v>0</v>
      </c>
      <c r="I471">
        <v>1</v>
      </c>
      <c r="J471" t="s">
        <v>0</v>
      </c>
    </row>
    <row r="472" spans="1:10" x14ac:dyDescent="0.3">
      <c r="A472">
        <v>28</v>
      </c>
      <c r="B472">
        <v>1300000</v>
      </c>
      <c r="C472">
        <v>2</v>
      </c>
      <c r="D472">
        <v>0</v>
      </c>
      <c r="E472">
        <v>1</v>
      </c>
      <c r="F472">
        <v>1</v>
      </c>
      <c r="G472">
        <v>0</v>
      </c>
      <c r="H472">
        <v>0</v>
      </c>
      <c r="I472">
        <v>0</v>
      </c>
      <c r="J472" t="s">
        <v>0</v>
      </c>
    </row>
    <row r="473" spans="1:10" x14ac:dyDescent="0.3">
      <c r="A473">
        <v>26</v>
      </c>
      <c r="B473">
        <v>1250000</v>
      </c>
      <c r="C473">
        <v>3</v>
      </c>
      <c r="D473">
        <v>0</v>
      </c>
      <c r="E473">
        <v>1</v>
      </c>
      <c r="F473">
        <v>0</v>
      </c>
      <c r="G473">
        <v>0</v>
      </c>
      <c r="H473">
        <v>0</v>
      </c>
      <c r="I473">
        <v>0</v>
      </c>
      <c r="J473" t="s">
        <v>0</v>
      </c>
    </row>
    <row r="474" spans="1:10" x14ac:dyDescent="0.3">
      <c r="A474">
        <v>28</v>
      </c>
      <c r="B474">
        <v>300000</v>
      </c>
      <c r="C474">
        <v>5</v>
      </c>
      <c r="D474">
        <v>1</v>
      </c>
      <c r="E474">
        <v>1</v>
      </c>
      <c r="F474">
        <v>0</v>
      </c>
      <c r="G474">
        <v>0</v>
      </c>
      <c r="H474">
        <v>0</v>
      </c>
      <c r="I474">
        <v>0</v>
      </c>
      <c r="J474" t="s">
        <v>0</v>
      </c>
    </row>
    <row r="475" spans="1:10" hidden="1" x14ac:dyDescent="0.3">
      <c r="A475">
        <v>25</v>
      </c>
      <c r="B475">
        <v>1400000</v>
      </c>
      <c r="C475">
        <v>8</v>
      </c>
      <c r="D475">
        <v>0</v>
      </c>
      <c r="E475">
        <v>1</v>
      </c>
      <c r="F475">
        <v>0</v>
      </c>
      <c r="G475">
        <v>0</v>
      </c>
      <c r="H475">
        <v>1</v>
      </c>
      <c r="I475">
        <v>1</v>
      </c>
      <c r="J475" t="s">
        <v>0</v>
      </c>
    </row>
    <row r="476" spans="1:10" x14ac:dyDescent="0.3">
      <c r="A476">
        <v>31</v>
      </c>
      <c r="B476">
        <v>1100000</v>
      </c>
      <c r="C476">
        <v>3</v>
      </c>
      <c r="D476">
        <v>0</v>
      </c>
      <c r="E476">
        <v>1</v>
      </c>
      <c r="F476">
        <v>1</v>
      </c>
      <c r="G476">
        <v>1</v>
      </c>
      <c r="H476">
        <v>0</v>
      </c>
      <c r="I476">
        <v>0</v>
      </c>
      <c r="J476" t="s">
        <v>0</v>
      </c>
    </row>
    <row r="477" spans="1:10" hidden="1" x14ac:dyDescent="0.3">
      <c r="A477">
        <v>34</v>
      </c>
      <c r="B477">
        <v>1000000</v>
      </c>
      <c r="C477">
        <v>4</v>
      </c>
      <c r="D477">
        <v>0</v>
      </c>
      <c r="E477">
        <v>1</v>
      </c>
      <c r="F477">
        <v>0</v>
      </c>
      <c r="G477">
        <v>0</v>
      </c>
      <c r="H477">
        <v>0</v>
      </c>
      <c r="I477">
        <v>1</v>
      </c>
      <c r="J477" t="s">
        <v>0</v>
      </c>
    </row>
    <row r="478" spans="1:10" hidden="1" x14ac:dyDescent="0.3">
      <c r="A478">
        <v>33</v>
      </c>
      <c r="B478">
        <v>1400000</v>
      </c>
      <c r="C478">
        <v>4</v>
      </c>
      <c r="D478">
        <v>0</v>
      </c>
      <c r="E478">
        <v>1</v>
      </c>
      <c r="F478">
        <v>1</v>
      </c>
      <c r="G478">
        <v>0</v>
      </c>
      <c r="H478">
        <v>1</v>
      </c>
      <c r="I478">
        <v>1</v>
      </c>
      <c r="J478" t="s">
        <v>0</v>
      </c>
    </row>
    <row r="479" spans="1:10" hidden="1" x14ac:dyDescent="0.3">
      <c r="A479">
        <v>34</v>
      </c>
      <c r="B479">
        <v>1500000</v>
      </c>
      <c r="C479">
        <v>6</v>
      </c>
      <c r="D479">
        <v>0</v>
      </c>
      <c r="E479">
        <v>1</v>
      </c>
      <c r="F479">
        <v>1</v>
      </c>
      <c r="G479">
        <v>1</v>
      </c>
      <c r="H479">
        <v>1</v>
      </c>
      <c r="I479">
        <v>1</v>
      </c>
      <c r="J479" t="s">
        <v>0</v>
      </c>
    </row>
    <row r="480" spans="1:10" x14ac:dyDescent="0.3">
      <c r="A480">
        <v>29</v>
      </c>
      <c r="B480">
        <v>900000</v>
      </c>
      <c r="C480">
        <v>4</v>
      </c>
      <c r="D480">
        <v>0</v>
      </c>
      <c r="E480">
        <v>1</v>
      </c>
      <c r="F480">
        <v>0</v>
      </c>
      <c r="G480">
        <v>0</v>
      </c>
      <c r="H480">
        <v>0</v>
      </c>
      <c r="I480">
        <v>0</v>
      </c>
      <c r="J480" t="s">
        <v>0</v>
      </c>
    </row>
    <row r="481" spans="1:10" x14ac:dyDescent="0.3">
      <c r="A481">
        <v>34</v>
      </c>
      <c r="B481">
        <v>1300000</v>
      </c>
      <c r="C481">
        <v>4</v>
      </c>
      <c r="D481">
        <v>1</v>
      </c>
      <c r="E481">
        <v>1</v>
      </c>
      <c r="F481">
        <v>1</v>
      </c>
      <c r="G481">
        <v>0</v>
      </c>
      <c r="H481">
        <v>0</v>
      </c>
      <c r="I481">
        <v>0</v>
      </c>
      <c r="J481" t="s">
        <v>0</v>
      </c>
    </row>
    <row r="482" spans="1:10" hidden="1" x14ac:dyDescent="0.3">
      <c r="A482">
        <v>34</v>
      </c>
      <c r="B482">
        <v>1050000</v>
      </c>
      <c r="C482">
        <v>7</v>
      </c>
      <c r="D482">
        <v>0</v>
      </c>
      <c r="E482">
        <v>1</v>
      </c>
      <c r="F482">
        <v>0</v>
      </c>
      <c r="G482">
        <v>1</v>
      </c>
      <c r="H482">
        <v>0</v>
      </c>
      <c r="I482">
        <v>1</v>
      </c>
      <c r="J482" t="s">
        <v>0</v>
      </c>
    </row>
    <row r="483" spans="1:10" x14ac:dyDescent="0.3">
      <c r="A483">
        <v>29</v>
      </c>
      <c r="B483">
        <v>1100000</v>
      </c>
      <c r="C483">
        <v>4</v>
      </c>
      <c r="D483">
        <v>0</v>
      </c>
      <c r="E483">
        <v>1</v>
      </c>
      <c r="F483">
        <v>0</v>
      </c>
      <c r="G483">
        <v>0</v>
      </c>
      <c r="H483">
        <v>0</v>
      </c>
      <c r="I483">
        <v>0</v>
      </c>
      <c r="J483" t="s">
        <v>0</v>
      </c>
    </row>
    <row r="484" spans="1:10" x14ac:dyDescent="0.3">
      <c r="A484">
        <v>32</v>
      </c>
      <c r="B484">
        <v>850000</v>
      </c>
      <c r="C484">
        <v>9</v>
      </c>
      <c r="D484">
        <v>1</v>
      </c>
      <c r="E484">
        <v>1</v>
      </c>
      <c r="F484">
        <v>0</v>
      </c>
      <c r="G484">
        <v>0</v>
      </c>
      <c r="H484">
        <v>0</v>
      </c>
      <c r="I484">
        <v>0</v>
      </c>
      <c r="J484" t="s">
        <v>0</v>
      </c>
    </row>
    <row r="485" spans="1:10" x14ac:dyDescent="0.3">
      <c r="A485">
        <v>28</v>
      </c>
      <c r="B485">
        <v>1150000</v>
      </c>
      <c r="C485">
        <v>4</v>
      </c>
      <c r="D485">
        <v>0</v>
      </c>
      <c r="E485">
        <v>1</v>
      </c>
      <c r="F485">
        <v>0</v>
      </c>
      <c r="G485">
        <v>0</v>
      </c>
      <c r="H485">
        <v>0</v>
      </c>
      <c r="I485">
        <v>0</v>
      </c>
      <c r="J485" t="s">
        <v>0</v>
      </c>
    </row>
    <row r="486" spans="1:10" hidden="1" x14ac:dyDescent="0.3">
      <c r="A486">
        <v>33</v>
      </c>
      <c r="B486">
        <v>800000</v>
      </c>
      <c r="C486">
        <v>6</v>
      </c>
      <c r="D486">
        <v>1</v>
      </c>
      <c r="E486">
        <v>1</v>
      </c>
      <c r="F486">
        <v>0</v>
      </c>
      <c r="G486">
        <v>0</v>
      </c>
      <c r="H486">
        <v>0</v>
      </c>
      <c r="I486">
        <v>1</v>
      </c>
      <c r="J486" t="s">
        <v>0</v>
      </c>
    </row>
    <row r="487" spans="1:10" x14ac:dyDescent="0.3">
      <c r="A487">
        <v>27</v>
      </c>
      <c r="B487">
        <v>450000</v>
      </c>
      <c r="C487">
        <v>4</v>
      </c>
      <c r="D487">
        <v>0</v>
      </c>
      <c r="E487">
        <v>0</v>
      </c>
      <c r="F487">
        <v>0</v>
      </c>
      <c r="G487">
        <v>0</v>
      </c>
      <c r="H487">
        <v>0</v>
      </c>
      <c r="I487">
        <v>0</v>
      </c>
      <c r="J487" t="s">
        <v>0</v>
      </c>
    </row>
    <row r="488" spans="1:10" x14ac:dyDescent="0.3">
      <c r="A488">
        <v>33</v>
      </c>
      <c r="B488">
        <v>550000</v>
      </c>
      <c r="C488">
        <v>4</v>
      </c>
      <c r="D488">
        <v>0</v>
      </c>
      <c r="E488">
        <v>1</v>
      </c>
      <c r="F488">
        <v>0</v>
      </c>
      <c r="G488">
        <v>1</v>
      </c>
      <c r="H488">
        <v>0</v>
      </c>
      <c r="I488">
        <v>0</v>
      </c>
      <c r="J488" t="s">
        <v>0</v>
      </c>
    </row>
    <row r="489" spans="1:10" hidden="1" x14ac:dyDescent="0.3">
      <c r="A489">
        <v>34</v>
      </c>
      <c r="B489">
        <v>850000</v>
      </c>
      <c r="C489">
        <v>4</v>
      </c>
      <c r="D489">
        <v>0</v>
      </c>
      <c r="E489">
        <v>1</v>
      </c>
      <c r="F489">
        <v>0</v>
      </c>
      <c r="G489">
        <v>0</v>
      </c>
      <c r="H489">
        <v>0</v>
      </c>
      <c r="I489">
        <v>1</v>
      </c>
      <c r="J489" t="s">
        <v>0</v>
      </c>
    </row>
    <row r="490" spans="1:10" x14ac:dyDescent="0.3">
      <c r="A490">
        <v>28</v>
      </c>
      <c r="B490">
        <v>300000</v>
      </c>
      <c r="C490">
        <v>3</v>
      </c>
      <c r="D490">
        <v>1</v>
      </c>
      <c r="E490">
        <v>1</v>
      </c>
      <c r="F490">
        <v>0</v>
      </c>
      <c r="G490">
        <v>0</v>
      </c>
      <c r="H490">
        <v>0</v>
      </c>
      <c r="I490">
        <v>0</v>
      </c>
      <c r="J490" t="s">
        <v>0</v>
      </c>
    </row>
    <row r="491" spans="1:10" x14ac:dyDescent="0.3">
      <c r="A491">
        <v>30</v>
      </c>
      <c r="B491">
        <v>800000</v>
      </c>
      <c r="C491">
        <v>9</v>
      </c>
      <c r="D491">
        <v>0</v>
      </c>
      <c r="E491">
        <v>0</v>
      </c>
      <c r="F491">
        <v>0</v>
      </c>
      <c r="G491">
        <v>0</v>
      </c>
      <c r="H491">
        <v>0</v>
      </c>
      <c r="I491">
        <v>0</v>
      </c>
      <c r="J491" t="s">
        <v>0</v>
      </c>
    </row>
    <row r="492" spans="1:10" x14ac:dyDescent="0.3">
      <c r="A492">
        <v>29</v>
      </c>
      <c r="B492">
        <v>1200000</v>
      </c>
      <c r="C492">
        <v>5</v>
      </c>
      <c r="D492">
        <v>0</v>
      </c>
      <c r="E492">
        <v>1</v>
      </c>
      <c r="F492">
        <v>1</v>
      </c>
      <c r="G492">
        <v>0</v>
      </c>
      <c r="H492">
        <v>0</v>
      </c>
      <c r="I492">
        <v>0</v>
      </c>
      <c r="J492" t="s">
        <v>0</v>
      </c>
    </row>
    <row r="493" spans="1:10" hidden="1" x14ac:dyDescent="0.3">
      <c r="A493">
        <v>28</v>
      </c>
      <c r="B493">
        <v>1100000</v>
      </c>
      <c r="C493">
        <v>4</v>
      </c>
      <c r="D493">
        <v>0</v>
      </c>
      <c r="E493">
        <v>1</v>
      </c>
      <c r="F493">
        <v>1</v>
      </c>
      <c r="G493">
        <v>0</v>
      </c>
      <c r="H493">
        <v>0</v>
      </c>
      <c r="I493">
        <v>1</v>
      </c>
      <c r="J493" t="s">
        <v>0</v>
      </c>
    </row>
    <row r="494" spans="1:10" x14ac:dyDescent="0.3">
      <c r="A494">
        <v>34</v>
      </c>
      <c r="B494">
        <v>500000</v>
      </c>
      <c r="C494">
        <v>3</v>
      </c>
      <c r="D494">
        <v>0</v>
      </c>
      <c r="E494">
        <v>1</v>
      </c>
      <c r="F494">
        <v>0</v>
      </c>
      <c r="G494">
        <v>0</v>
      </c>
      <c r="H494">
        <v>0</v>
      </c>
      <c r="I494">
        <v>0</v>
      </c>
      <c r="J494" t="s">
        <v>0</v>
      </c>
    </row>
    <row r="495" spans="1:10" x14ac:dyDescent="0.3">
      <c r="A495">
        <v>29</v>
      </c>
      <c r="B495">
        <v>1050000</v>
      </c>
      <c r="C495">
        <v>7</v>
      </c>
      <c r="D495">
        <v>0</v>
      </c>
      <c r="E495">
        <v>1</v>
      </c>
      <c r="F495">
        <v>0</v>
      </c>
      <c r="G495">
        <v>0</v>
      </c>
      <c r="H495">
        <v>0</v>
      </c>
      <c r="I495">
        <v>0</v>
      </c>
      <c r="J495" t="s">
        <v>0</v>
      </c>
    </row>
    <row r="496" spans="1:10" x14ac:dyDescent="0.3">
      <c r="A496">
        <v>34</v>
      </c>
      <c r="B496">
        <v>1300000</v>
      </c>
      <c r="C496">
        <v>5</v>
      </c>
      <c r="D496">
        <v>1</v>
      </c>
      <c r="E496">
        <v>1</v>
      </c>
      <c r="F496">
        <v>1</v>
      </c>
      <c r="G496">
        <v>0</v>
      </c>
      <c r="H496">
        <v>1</v>
      </c>
      <c r="I496">
        <v>0</v>
      </c>
      <c r="J496" t="s">
        <v>0</v>
      </c>
    </row>
    <row r="497" spans="1:10" x14ac:dyDescent="0.3">
      <c r="A497">
        <v>31</v>
      </c>
      <c r="B497">
        <v>1200000</v>
      </c>
      <c r="C497">
        <v>4</v>
      </c>
      <c r="D497">
        <v>1</v>
      </c>
      <c r="E497">
        <v>1</v>
      </c>
      <c r="F497">
        <v>0</v>
      </c>
      <c r="G497">
        <v>0</v>
      </c>
      <c r="H497">
        <v>0</v>
      </c>
      <c r="I497">
        <v>0</v>
      </c>
      <c r="J497" t="s">
        <v>0</v>
      </c>
    </row>
    <row r="498" spans="1:10" x14ac:dyDescent="0.3">
      <c r="A498">
        <v>26</v>
      </c>
      <c r="B498">
        <v>600000</v>
      </c>
      <c r="C498">
        <v>7</v>
      </c>
      <c r="D498">
        <v>0</v>
      </c>
      <c r="E498">
        <v>1</v>
      </c>
      <c r="F498">
        <v>0</v>
      </c>
      <c r="G498">
        <v>0</v>
      </c>
      <c r="H498">
        <v>0</v>
      </c>
      <c r="I498">
        <v>0</v>
      </c>
      <c r="J498" t="s">
        <v>0</v>
      </c>
    </row>
    <row r="499" spans="1:10" hidden="1" x14ac:dyDescent="0.3">
      <c r="A499">
        <v>28</v>
      </c>
      <c r="B499">
        <v>1200000</v>
      </c>
      <c r="C499">
        <v>5</v>
      </c>
      <c r="D499">
        <v>0</v>
      </c>
      <c r="E499">
        <v>1</v>
      </c>
      <c r="F499">
        <v>0</v>
      </c>
      <c r="G499">
        <v>1</v>
      </c>
      <c r="H499">
        <v>0</v>
      </c>
      <c r="I499">
        <v>1</v>
      </c>
      <c r="J499" t="s">
        <v>0</v>
      </c>
    </row>
    <row r="500" spans="1:10" x14ac:dyDescent="0.3">
      <c r="A500">
        <v>29</v>
      </c>
      <c r="B500">
        <v>600000</v>
      </c>
      <c r="C500">
        <v>5</v>
      </c>
      <c r="D500">
        <v>0</v>
      </c>
      <c r="E500">
        <v>1</v>
      </c>
      <c r="F500">
        <v>0</v>
      </c>
      <c r="G500">
        <v>0</v>
      </c>
      <c r="H500">
        <v>0</v>
      </c>
      <c r="I500">
        <v>0</v>
      </c>
      <c r="J500" t="s">
        <v>0</v>
      </c>
    </row>
    <row r="501" spans="1:10" x14ac:dyDescent="0.3">
      <c r="A501">
        <v>32</v>
      </c>
      <c r="B501">
        <v>350000</v>
      </c>
      <c r="C501">
        <v>6</v>
      </c>
      <c r="D501">
        <v>1</v>
      </c>
      <c r="E501">
        <v>1</v>
      </c>
      <c r="F501">
        <v>0</v>
      </c>
      <c r="G501">
        <v>0</v>
      </c>
      <c r="H501">
        <v>0</v>
      </c>
      <c r="I501">
        <v>0</v>
      </c>
      <c r="J501" t="s">
        <v>0</v>
      </c>
    </row>
    <row r="502" spans="1:10" hidden="1" x14ac:dyDescent="0.3">
      <c r="A502">
        <v>26</v>
      </c>
      <c r="B502">
        <v>1500000</v>
      </c>
      <c r="C502">
        <v>4</v>
      </c>
      <c r="D502">
        <v>0</v>
      </c>
      <c r="E502">
        <v>1</v>
      </c>
      <c r="F502">
        <v>0</v>
      </c>
      <c r="G502">
        <v>1</v>
      </c>
      <c r="H502">
        <v>1</v>
      </c>
      <c r="I502">
        <v>1</v>
      </c>
      <c r="J502" t="s">
        <v>0</v>
      </c>
    </row>
    <row r="503" spans="1:10" x14ac:dyDescent="0.3">
      <c r="A503">
        <v>31</v>
      </c>
      <c r="B503">
        <v>1250000</v>
      </c>
      <c r="C503">
        <v>3</v>
      </c>
      <c r="D503">
        <v>0</v>
      </c>
      <c r="E503">
        <v>1</v>
      </c>
      <c r="F503">
        <v>0</v>
      </c>
      <c r="G503">
        <v>0</v>
      </c>
      <c r="H503">
        <v>0</v>
      </c>
      <c r="I503">
        <v>0</v>
      </c>
      <c r="J503" t="s">
        <v>0</v>
      </c>
    </row>
    <row r="504" spans="1:10" hidden="1" x14ac:dyDescent="0.3">
      <c r="A504">
        <v>28</v>
      </c>
      <c r="B504">
        <v>300000</v>
      </c>
      <c r="C504">
        <v>4</v>
      </c>
      <c r="D504">
        <v>1</v>
      </c>
      <c r="E504">
        <v>1</v>
      </c>
      <c r="F504">
        <v>1</v>
      </c>
      <c r="G504">
        <v>0</v>
      </c>
      <c r="H504">
        <v>0</v>
      </c>
      <c r="I504">
        <v>1</v>
      </c>
      <c r="J504" t="s">
        <v>0</v>
      </c>
    </row>
    <row r="505" spans="1:10" x14ac:dyDescent="0.3">
      <c r="A505">
        <v>31</v>
      </c>
      <c r="B505">
        <v>1300000</v>
      </c>
      <c r="C505">
        <v>5</v>
      </c>
      <c r="D505">
        <v>1</v>
      </c>
      <c r="E505">
        <v>1</v>
      </c>
      <c r="F505">
        <v>0</v>
      </c>
      <c r="G505">
        <v>0</v>
      </c>
      <c r="H505">
        <v>0</v>
      </c>
      <c r="I505">
        <v>0</v>
      </c>
      <c r="J505" t="s">
        <v>0</v>
      </c>
    </row>
    <row r="506" spans="1:10" x14ac:dyDescent="0.3">
      <c r="A506">
        <v>29</v>
      </c>
      <c r="B506">
        <v>500000</v>
      </c>
      <c r="C506">
        <v>4</v>
      </c>
      <c r="D506">
        <v>0</v>
      </c>
      <c r="E506">
        <v>1</v>
      </c>
      <c r="F506">
        <v>0</v>
      </c>
      <c r="G506">
        <v>0</v>
      </c>
      <c r="H506">
        <v>0</v>
      </c>
      <c r="I506">
        <v>0</v>
      </c>
      <c r="J506" t="s">
        <v>0</v>
      </c>
    </row>
    <row r="507" spans="1:10" x14ac:dyDescent="0.3">
      <c r="A507">
        <v>28</v>
      </c>
      <c r="B507">
        <v>800000</v>
      </c>
      <c r="C507">
        <v>4</v>
      </c>
      <c r="D507">
        <v>0</v>
      </c>
      <c r="E507">
        <v>1</v>
      </c>
      <c r="F507">
        <v>0</v>
      </c>
      <c r="G507">
        <v>0</v>
      </c>
      <c r="H507">
        <v>0</v>
      </c>
      <c r="I507">
        <v>0</v>
      </c>
      <c r="J507" t="s">
        <v>0</v>
      </c>
    </row>
    <row r="508" spans="1:10" x14ac:dyDescent="0.3">
      <c r="A508">
        <v>28</v>
      </c>
      <c r="B508">
        <v>600000</v>
      </c>
      <c r="C508">
        <v>6</v>
      </c>
      <c r="D508">
        <v>0</v>
      </c>
      <c r="E508">
        <v>1</v>
      </c>
      <c r="F508">
        <v>0</v>
      </c>
      <c r="G508">
        <v>0</v>
      </c>
      <c r="H508">
        <v>0</v>
      </c>
      <c r="I508">
        <v>0</v>
      </c>
      <c r="J508" t="s">
        <v>0</v>
      </c>
    </row>
    <row r="509" spans="1:10" x14ac:dyDescent="0.3">
      <c r="A509">
        <v>32</v>
      </c>
      <c r="B509">
        <v>800000</v>
      </c>
      <c r="C509">
        <v>2</v>
      </c>
      <c r="D509">
        <v>1</v>
      </c>
      <c r="E509">
        <v>1</v>
      </c>
      <c r="F509">
        <v>1</v>
      </c>
      <c r="G509">
        <v>0</v>
      </c>
      <c r="H509">
        <v>0</v>
      </c>
      <c r="I509">
        <v>0</v>
      </c>
      <c r="J509" t="s">
        <v>0</v>
      </c>
    </row>
    <row r="510" spans="1:10" hidden="1" x14ac:dyDescent="0.3">
      <c r="A510">
        <v>28</v>
      </c>
      <c r="B510">
        <v>900000</v>
      </c>
      <c r="C510">
        <v>6</v>
      </c>
      <c r="D510">
        <v>0</v>
      </c>
      <c r="E510">
        <v>1</v>
      </c>
      <c r="F510">
        <v>0</v>
      </c>
      <c r="G510">
        <v>0</v>
      </c>
      <c r="H510">
        <v>0</v>
      </c>
      <c r="I510">
        <v>1</v>
      </c>
      <c r="J510" t="s">
        <v>0</v>
      </c>
    </row>
    <row r="511" spans="1:10" hidden="1" x14ac:dyDescent="0.3">
      <c r="A511">
        <v>28</v>
      </c>
      <c r="B511">
        <v>1450000</v>
      </c>
      <c r="C511">
        <v>6</v>
      </c>
      <c r="D511">
        <v>0</v>
      </c>
      <c r="E511">
        <v>1</v>
      </c>
      <c r="F511">
        <v>0</v>
      </c>
      <c r="G511">
        <v>1</v>
      </c>
      <c r="H511">
        <v>1</v>
      </c>
      <c r="I511">
        <v>1</v>
      </c>
      <c r="J511" t="s">
        <v>0</v>
      </c>
    </row>
    <row r="512" spans="1:10" x14ac:dyDescent="0.3">
      <c r="A512">
        <v>31</v>
      </c>
      <c r="B512">
        <v>950000</v>
      </c>
      <c r="C512">
        <v>5</v>
      </c>
      <c r="D512">
        <v>0</v>
      </c>
      <c r="E512">
        <v>1</v>
      </c>
      <c r="F512">
        <v>0</v>
      </c>
      <c r="G512">
        <v>0</v>
      </c>
      <c r="H512">
        <v>0</v>
      </c>
      <c r="I512">
        <v>0</v>
      </c>
      <c r="J512" t="s">
        <v>0</v>
      </c>
    </row>
    <row r="513" spans="1:10" x14ac:dyDescent="0.3">
      <c r="A513">
        <v>31</v>
      </c>
      <c r="B513">
        <v>1250000</v>
      </c>
      <c r="C513">
        <v>3</v>
      </c>
      <c r="D513">
        <v>0</v>
      </c>
      <c r="E513">
        <v>1</v>
      </c>
      <c r="F513">
        <v>0</v>
      </c>
      <c r="G513">
        <v>0</v>
      </c>
      <c r="H513">
        <v>1</v>
      </c>
      <c r="I513">
        <v>0</v>
      </c>
      <c r="J513" t="s">
        <v>0</v>
      </c>
    </row>
    <row r="514" spans="1:10" x14ac:dyDescent="0.3">
      <c r="A514">
        <v>29</v>
      </c>
      <c r="B514">
        <v>1100000</v>
      </c>
      <c r="C514">
        <v>5</v>
      </c>
      <c r="D514">
        <v>0</v>
      </c>
      <c r="E514">
        <v>1</v>
      </c>
      <c r="F514">
        <v>0</v>
      </c>
      <c r="G514">
        <v>1</v>
      </c>
      <c r="H514">
        <v>0</v>
      </c>
      <c r="I514">
        <v>0</v>
      </c>
      <c r="J514" t="s">
        <v>0</v>
      </c>
    </row>
    <row r="515" spans="1:10" x14ac:dyDescent="0.3">
      <c r="A515">
        <v>27</v>
      </c>
      <c r="B515">
        <v>850000</v>
      </c>
      <c r="C515">
        <v>5</v>
      </c>
      <c r="D515">
        <v>1</v>
      </c>
      <c r="E515">
        <v>1</v>
      </c>
      <c r="F515">
        <v>1</v>
      </c>
      <c r="G515">
        <v>0</v>
      </c>
      <c r="H515">
        <v>0</v>
      </c>
      <c r="I515">
        <v>0</v>
      </c>
      <c r="J515" t="s">
        <v>0</v>
      </c>
    </row>
    <row r="516" spans="1:10" hidden="1" x14ac:dyDescent="0.3">
      <c r="A516">
        <v>28</v>
      </c>
      <c r="B516">
        <v>500000</v>
      </c>
      <c r="C516">
        <v>4</v>
      </c>
      <c r="D516">
        <v>0</v>
      </c>
      <c r="E516">
        <v>1</v>
      </c>
      <c r="F516">
        <v>0</v>
      </c>
      <c r="G516">
        <v>0</v>
      </c>
      <c r="H516">
        <v>0</v>
      </c>
      <c r="I516">
        <v>1</v>
      </c>
      <c r="J516" t="s">
        <v>0</v>
      </c>
    </row>
    <row r="517" spans="1:10" x14ac:dyDescent="0.3">
      <c r="A517">
        <v>27</v>
      </c>
      <c r="B517">
        <v>850000</v>
      </c>
      <c r="C517">
        <v>7</v>
      </c>
      <c r="D517">
        <v>1</v>
      </c>
      <c r="E517">
        <v>1</v>
      </c>
      <c r="F517">
        <v>0</v>
      </c>
      <c r="G517">
        <v>1</v>
      </c>
      <c r="H517">
        <v>0</v>
      </c>
      <c r="I517">
        <v>0</v>
      </c>
      <c r="J517" t="s">
        <v>0</v>
      </c>
    </row>
    <row r="518" spans="1:10" x14ac:dyDescent="0.3">
      <c r="A518">
        <v>31</v>
      </c>
      <c r="B518">
        <v>1250000</v>
      </c>
      <c r="C518">
        <v>3</v>
      </c>
      <c r="D518">
        <v>0</v>
      </c>
      <c r="E518">
        <v>1</v>
      </c>
      <c r="F518">
        <v>1</v>
      </c>
      <c r="G518">
        <v>0</v>
      </c>
      <c r="H518">
        <v>0</v>
      </c>
      <c r="I518">
        <v>0</v>
      </c>
      <c r="J518" t="s">
        <v>0</v>
      </c>
    </row>
    <row r="519" spans="1:10" hidden="1" x14ac:dyDescent="0.3">
      <c r="A519">
        <v>31</v>
      </c>
      <c r="B519">
        <v>1250000</v>
      </c>
      <c r="C519">
        <v>5</v>
      </c>
      <c r="D519">
        <v>0</v>
      </c>
      <c r="E519">
        <v>1</v>
      </c>
      <c r="F519">
        <v>0</v>
      </c>
      <c r="G519">
        <v>0</v>
      </c>
      <c r="H519">
        <v>0</v>
      </c>
      <c r="I519">
        <v>1</v>
      </c>
      <c r="J519" t="s">
        <v>0</v>
      </c>
    </row>
    <row r="520" spans="1:10" hidden="1" x14ac:dyDescent="0.3">
      <c r="A520">
        <v>29</v>
      </c>
      <c r="B520">
        <v>1350000</v>
      </c>
      <c r="C520">
        <v>4</v>
      </c>
      <c r="D520">
        <v>0</v>
      </c>
      <c r="E520">
        <v>1</v>
      </c>
      <c r="F520">
        <v>0</v>
      </c>
      <c r="G520">
        <v>1</v>
      </c>
      <c r="H520">
        <v>1</v>
      </c>
      <c r="I520">
        <v>1</v>
      </c>
      <c r="J520" t="s">
        <v>0</v>
      </c>
    </row>
    <row r="521" spans="1:10" hidden="1" x14ac:dyDescent="0.3">
      <c r="A521">
        <v>25</v>
      </c>
      <c r="B521">
        <v>1700000</v>
      </c>
      <c r="C521">
        <v>3</v>
      </c>
      <c r="D521">
        <v>0</v>
      </c>
      <c r="E521">
        <v>0</v>
      </c>
      <c r="F521">
        <v>0</v>
      </c>
      <c r="G521">
        <v>1</v>
      </c>
      <c r="H521">
        <v>0</v>
      </c>
      <c r="I521">
        <v>1</v>
      </c>
      <c r="J521" t="s">
        <v>0</v>
      </c>
    </row>
    <row r="522" spans="1:10" x14ac:dyDescent="0.3">
      <c r="A522">
        <v>35</v>
      </c>
      <c r="B522">
        <v>1100000</v>
      </c>
      <c r="C522">
        <v>4</v>
      </c>
      <c r="D522">
        <v>1</v>
      </c>
      <c r="E522">
        <v>1</v>
      </c>
      <c r="F522">
        <v>1</v>
      </c>
      <c r="G522">
        <v>0</v>
      </c>
      <c r="H522">
        <v>0</v>
      </c>
      <c r="I522">
        <v>0</v>
      </c>
      <c r="J522" t="s">
        <v>0</v>
      </c>
    </row>
    <row r="523" spans="1:10" x14ac:dyDescent="0.3">
      <c r="A523">
        <v>28</v>
      </c>
      <c r="B523">
        <v>1100000</v>
      </c>
      <c r="C523">
        <v>6</v>
      </c>
      <c r="D523">
        <v>0</v>
      </c>
      <c r="E523">
        <v>1</v>
      </c>
      <c r="F523">
        <v>0</v>
      </c>
      <c r="G523">
        <v>0</v>
      </c>
      <c r="H523">
        <v>0</v>
      </c>
      <c r="I523">
        <v>0</v>
      </c>
      <c r="J523" t="s">
        <v>0</v>
      </c>
    </row>
    <row r="524" spans="1:10" hidden="1" x14ac:dyDescent="0.3">
      <c r="A524">
        <v>35</v>
      </c>
      <c r="B524">
        <v>800000</v>
      </c>
      <c r="C524">
        <v>6</v>
      </c>
      <c r="D524">
        <v>0</v>
      </c>
      <c r="E524">
        <v>0</v>
      </c>
      <c r="F524">
        <v>1</v>
      </c>
      <c r="G524">
        <v>0</v>
      </c>
      <c r="H524">
        <v>0</v>
      </c>
      <c r="I524">
        <v>1</v>
      </c>
      <c r="J524" t="s">
        <v>0</v>
      </c>
    </row>
    <row r="525" spans="1:10" x14ac:dyDescent="0.3">
      <c r="A525">
        <v>33</v>
      </c>
      <c r="B525">
        <v>400000</v>
      </c>
      <c r="C525">
        <v>5</v>
      </c>
      <c r="D525">
        <v>1</v>
      </c>
      <c r="E525">
        <v>1</v>
      </c>
      <c r="F525">
        <v>1</v>
      </c>
      <c r="G525">
        <v>0</v>
      </c>
      <c r="H525">
        <v>0</v>
      </c>
      <c r="I525">
        <v>0</v>
      </c>
      <c r="J525" t="s">
        <v>0</v>
      </c>
    </row>
    <row r="526" spans="1:10" x14ac:dyDescent="0.3">
      <c r="A526">
        <v>32</v>
      </c>
      <c r="B526">
        <v>800000</v>
      </c>
      <c r="C526">
        <v>4</v>
      </c>
      <c r="D526">
        <v>1</v>
      </c>
      <c r="E526">
        <v>1</v>
      </c>
      <c r="F526">
        <v>0</v>
      </c>
      <c r="G526">
        <v>0</v>
      </c>
      <c r="H526">
        <v>0</v>
      </c>
      <c r="I526">
        <v>0</v>
      </c>
      <c r="J526" t="s">
        <v>0</v>
      </c>
    </row>
    <row r="527" spans="1:10" x14ac:dyDescent="0.3">
      <c r="A527">
        <v>26</v>
      </c>
      <c r="B527">
        <v>500000</v>
      </c>
      <c r="C527">
        <v>9</v>
      </c>
      <c r="D527">
        <v>0</v>
      </c>
      <c r="E527">
        <v>1</v>
      </c>
      <c r="F527">
        <v>0</v>
      </c>
      <c r="G527">
        <v>0</v>
      </c>
      <c r="H527">
        <v>0</v>
      </c>
      <c r="I527">
        <v>0</v>
      </c>
      <c r="J527" t="s">
        <v>0</v>
      </c>
    </row>
    <row r="528" spans="1:10" x14ac:dyDescent="0.3">
      <c r="A528">
        <v>31</v>
      </c>
      <c r="B528">
        <v>1100000</v>
      </c>
      <c r="C528">
        <v>4</v>
      </c>
      <c r="D528">
        <v>0</v>
      </c>
      <c r="E528">
        <v>1</v>
      </c>
      <c r="F528">
        <v>1</v>
      </c>
      <c r="G528">
        <v>0</v>
      </c>
      <c r="H528">
        <v>0</v>
      </c>
      <c r="I528">
        <v>0</v>
      </c>
      <c r="J528" t="s">
        <v>0</v>
      </c>
    </row>
    <row r="529" spans="1:10" x14ac:dyDescent="0.3">
      <c r="A529">
        <v>28</v>
      </c>
      <c r="B529">
        <v>700000</v>
      </c>
      <c r="C529">
        <v>4</v>
      </c>
      <c r="D529">
        <v>0</v>
      </c>
      <c r="E529">
        <v>1</v>
      </c>
      <c r="F529">
        <v>1</v>
      </c>
      <c r="G529">
        <v>0</v>
      </c>
      <c r="H529">
        <v>0</v>
      </c>
      <c r="I529">
        <v>0</v>
      </c>
      <c r="J529" t="s">
        <v>0</v>
      </c>
    </row>
    <row r="530" spans="1:10" x14ac:dyDescent="0.3">
      <c r="A530">
        <v>25</v>
      </c>
      <c r="B530">
        <v>1150000</v>
      </c>
      <c r="C530">
        <v>5</v>
      </c>
      <c r="D530">
        <v>0</v>
      </c>
      <c r="E530">
        <v>0</v>
      </c>
      <c r="F530">
        <v>0</v>
      </c>
      <c r="G530">
        <v>0</v>
      </c>
      <c r="H530">
        <v>0</v>
      </c>
      <c r="I530">
        <v>0</v>
      </c>
      <c r="J530" t="s">
        <v>0</v>
      </c>
    </row>
    <row r="531" spans="1:10" x14ac:dyDescent="0.3">
      <c r="A531">
        <v>28</v>
      </c>
      <c r="B531">
        <v>1250000</v>
      </c>
      <c r="C531">
        <v>4</v>
      </c>
      <c r="D531">
        <v>0</v>
      </c>
      <c r="E531">
        <v>1</v>
      </c>
      <c r="F531">
        <v>0</v>
      </c>
      <c r="G531">
        <v>1</v>
      </c>
      <c r="H531">
        <v>0</v>
      </c>
      <c r="I531">
        <v>0</v>
      </c>
      <c r="J531" t="s">
        <v>0</v>
      </c>
    </row>
    <row r="532" spans="1:10" x14ac:dyDescent="0.3">
      <c r="A532">
        <v>29</v>
      </c>
      <c r="B532">
        <v>900000</v>
      </c>
      <c r="C532">
        <v>3</v>
      </c>
      <c r="D532">
        <v>0</v>
      </c>
      <c r="E532">
        <v>1</v>
      </c>
      <c r="F532">
        <v>0</v>
      </c>
      <c r="G532">
        <v>0</v>
      </c>
      <c r="H532">
        <v>0</v>
      </c>
      <c r="I532">
        <v>0</v>
      </c>
      <c r="J532" t="s">
        <v>0</v>
      </c>
    </row>
    <row r="533" spans="1:10" x14ac:dyDescent="0.3">
      <c r="A533">
        <v>28</v>
      </c>
      <c r="B533">
        <v>1150000</v>
      </c>
      <c r="C533">
        <v>6</v>
      </c>
      <c r="D533">
        <v>0</v>
      </c>
      <c r="E533">
        <v>1</v>
      </c>
      <c r="F533">
        <v>1</v>
      </c>
      <c r="G533">
        <v>0</v>
      </c>
      <c r="H533">
        <v>0</v>
      </c>
      <c r="I533">
        <v>0</v>
      </c>
      <c r="J533" t="s">
        <v>0</v>
      </c>
    </row>
    <row r="534" spans="1:10" hidden="1" x14ac:dyDescent="0.3">
      <c r="A534">
        <v>31</v>
      </c>
      <c r="B534">
        <v>1300000</v>
      </c>
      <c r="C534">
        <v>5</v>
      </c>
      <c r="D534">
        <v>1</v>
      </c>
      <c r="E534">
        <v>1</v>
      </c>
      <c r="F534">
        <v>1</v>
      </c>
      <c r="G534">
        <v>1</v>
      </c>
      <c r="H534">
        <v>0</v>
      </c>
      <c r="I534">
        <v>1</v>
      </c>
      <c r="J534" t="s">
        <v>0</v>
      </c>
    </row>
    <row r="535" spans="1:10" x14ac:dyDescent="0.3">
      <c r="A535">
        <v>29</v>
      </c>
      <c r="B535">
        <v>600000</v>
      </c>
      <c r="C535">
        <v>3</v>
      </c>
      <c r="D535">
        <v>0</v>
      </c>
      <c r="E535">
        <v>1</v>
      </c>
      <c r="F535">
        <v>0</v>
      </c>
      <c r="G535">
        <v>0</v>
      </c>
      <c r="H535">
        <v>0</v>
      </c>
      <c r="I535">
        <v>0</v>
      </c>
      <c r="J535" t="s">
        <v>0</v>
      </c>
    </row>
    <row r="536" spans="1:10" hidden="1" x14ac:dyDescent="0.3">
      <c r="A536">
        <v>27</v>
      </c>
      <c r="B536">
        <v>450000</v>
      </c>
      <c r="C536">
        <v>4</v>
      </c>
      <c r="D536">
        <v>0</v>
      </c>
      <c r="E536">
        <v>0</v>
      </c>
      <c r="F536">
        <v>0</v>
      </c>
      <c r="G536">
        <v>0</v>
      </c>
      <c r="H536">
        <v>0</v>
      </c>
      <c r="I536">
        <v>1</v>
      </c>
      <c r="J536" t="s">
        <v>0</v>
      </c>
    </row>
    <row r="537" spans="1:10" hidden="1" x14ac:dyDescent="0.3">
      <c r="A537">
        <v>31</v>
      </c>
      <c r="B537">
        <v>1350000</v>
      </c>
      <c r="C537">
        <v>5</v>
      </c>
      <c r="D537">
        <v>0</v>
      </c>
      <c r="E537">
        <v>1</v>
      </c>
      <c r="F537">
        <v>0</v>
      </c>
      <c r="G537">
        <v>0</v>
      </c>
      <c r="H537">
        <v>1</v>
      </c>
      <c r="I537">
        <v>1</v>
      </c>
      <c r="J537" t="s">
        <v>0</v>
      </c>
    </row>
    <row r="538" spans="1:10" x14ac:dyDescent="0.3">
      <c r="A538">
        <v>30</v>
      </c>
      <c r="B538">
        <v>500000</v>
      </c>
      <c r="C538">
        <v>3</v>
      </c>
      <c r="D538">
        <v>0</v>
      </c>
      <c r="E538">
        <v>0</v>
      </c>
      <c r="F538">
        <v>0</v>
      </c>
      <c r="G538">
        <v>0</v>
      </c>
      <c r="H538">
        <v>0</v>
      </c>
      <c r="I538">
        <v>0</v>
      </c>
      <c r="J538" t="s">
        <v>0</v>
      </c>
    </row>
    <row r="539" spans="1:10" hidden="1" x14ac:dyDescent="0.3">
      <c r="A539">
        <v>29</v>
      </c>
      <c r="B539">
        <v>600000</v>
      </c>
      <c r="C539">
        <v>8</v>
      </c>
      <c r="D539">
        <v>0</v>
      </c>
      <c r="E539">
        <v>1</v>
      </c>
      <c r="F539">
        <v>1</v>
      </c>
      <c r="G539">
        <v>0</v>
      </c>
      <c r="H539">
        <v>0</v>
      </c>
      <c r="I539">
        <v>1</v>
      </c>
      <c r="J539" t="s">
        <v>0</v>
      </c>
    </row>
    <row r="540" spans="1:10" x14ac:dyDescent="0.3">
      <c r="A540">
        <v>28</v>
      </c>
      <c r="B540">
        <v>1150000</v>
      </c>
      <c r="C540">
        <v>2</v>
      </c>
      <c r="D540">
        <v>0</v>
      </c>
      <c r="E540">
        <v>1</v>
      </c>
      <c r="F540">
        <v>1</v>
      </c>
      <c r="G540">
        <v>1</v>
      </c>
      <c r="H540">
        <v>0</v>
      </c>
      <c r="I540">
        <v>0</v>
      </c>
      <c r="J540" t="s">
        <v>0</v>
      </c>
    </row>
    <row r="541" spans="1:10" x14ac:dyDescent="0.3">
      <c r="A541">
        <v>33</v>
      </c>
      <c r="B541">
        <v>400000</v>
      </c>
      <c r="C541">
        <v>4</v>
      </c>
      <c r="D541">
        <v>1</v>
      </c>
      <c r="E541">
        <v>0</v>
      </c>
      <c r="F541">
        <v>0</v>
      </c>
      <c r="G541">
        <v>0</v>
      </c>
      <c r="H541">
        <v>0</v>
      </c>
      <c r="I541">
        <v>0</v>
      </c>
      <c r="J541" t="s">
        <v>0</v>
      </c>
    </row>
    <row r="542" spans="1:10" hidden="1" x14ac:dyDescent="0.3">
      <c r="A542">
        <v>26</v>
      </c>
      <c r="B542">
        <v>1500000</v>
      </c>
      <c r="C542">
        <v>3</v>
      </c>
      <c r="D542">
        <v>0</v>
      </c>
      <c r="E542">
        <v>1</v>
      </c>
      <c r="F542">
        <v>0</v>
      </c>
      <c r="G542">
        <v>1</v>
      </c>
      <c r="H542">
        <v>1</v>
      </c>
      <c r="I542">
        <v>1</v>
      </c>
      <c r="J542" t="s">
        <v>0</v>
      </c>
    </row>
    <row r="543" spans="1:10" x14ac:dyDescent="0.3">
      <c r="A543">
        <v>29</v>
      </c>
      <c r="B543">
        <v>1200000</v>
      </c>
      <c r="C543">
        <v>5</v>
      </c>
      <c r="D543">
        <v>0</v>
      </c>
      <c r="E543">
        <v>1</v>
      </c>
      <c r="F543">
        <v>0</v>
      </c>
      <c r="G543">
        <v>0</v>
      </c>
      <c r="H543">
        <v>0</v>
      </c>
      <c r="I543">
        <v>0</v>
      </c>
      <c r="J543" t="s">
        <v>0</v>
      </c>
    </row>
    <row r="544" spans="1:10" x14ac:dyDescent="0.3">
      <c r="A544">
        <v>27</v>
      </c>
      <c r="B544">
        <v>600000</v>
      </c>
      <c r="C544">
        <v>4</v>
      </c>
      <c r="D544">
        <v>0</v>
      </c>
      <c r="E544">
        <v>0</v>
      </c>
      <c r="F544">
        <v>0</v>
      </c>
      <c r="G544">
        <v>1</v>
      </c>
      <c r="H544">
        <v>0</v>
      </c>
      <c r="I544">
        <v>0</v>
      </c>
      <c r="J544" t="s">
        <v>0</v>
      </c>
    </row>
    <row r="545" spans="1:10" x14ac:dyDescent="0.3">
      <c r="A545">
        <v>34</v>
      </c>
      <c r="B545">
        <v>850000</v>
      </c>
      <c r="C545">
        <v>3</v>
      </c>
      <c r="D545">
        <v>0</v>
      </c>
      <c r="E545">
        <v>1</v>
      </c>
      <c r="F545">
        <v>1</v>
      </c>
      <c r="G545">
        <v>0</v>
      </c>
      <c r="H545">
        <v>0</v>
      </c>
      <c r="I545">
        <v>0</v>
      </c>
      <c r="J545" t="s">
        <v>0</v>
      </c>
    </row>
    <row r="546" spans="1:10" x14ac:dyDescent="0.3">
      <c r="A546">
        <v>31</v>
      </c>
      <c r="B546">
        <v>400000</v>
      </c>
      <c r="C546">
        <v>3</v>
      </c>
      <c r="D546">
        <v>1</v>
      </c>
      <c r="E546">
        <v>0</v>
      </c>
      <c r="F546">
        <v>0</v>
      </c>
      <c r="G546">
        <v>0</v>
      </c>
      <c r="H546">
        <v>0</v>
      </c>
      <c r="I546">
        <v>0</v>
      </c>
      <c r="J546" t="s">
        <v>0</v>
      </c>
    </row>
    <row r="547" spans="1:10" x14ac:dyDescent="0.3">
      <c r="A547">
        <v>26</v>
      </c>
      <c r="B547">
        <v>600000</v>
      </c>
      <c r="C547">
        <v>6</v>
      </c>
      <c r="D547">
        <v>0</v>
      </c>
      <c r="E547">
        <v>1</v>
      </c>
      <c r="F547">
        <v>1</v>
      </c>
      <c r="G547">
        <v>0</v>
      </c>
      <c r="H547">
        <v>0</v>
      </c>
      <c r="I547">
        <v>0</v>
      </c>
      <c r="J547" t="s">
        <v>0</v>
      </c>
    </row>
    <row r="548" spans="1:10" x14ac:dyDescent="0.3">
      <c r="A548">
        <v>28</v>
      </c>
      <c r="B548">
        <v>550000</v>
      </c>
      <c r="C548">
        <v>3</v>
      </c>
      <c r="D548">
        <v>0</v>
      </c>
      <c r="E548">
        <v>1</v>
      </c>
      <c r="F548">
        <v>0</v>
      </c>
      <c r="G548">
        <v>0</v>
      </c>
      <c r="H548">
        <v>0</v>
      </c>
      <c r="I548">
        <v>0</v>
      </c>
      <c r="J548" t="s">
        <v>0</v>
      </c>
    </row>
    <row r="549" spans="1:10" hidden="1" x14ac:dyDescent="0.3">
      <c r="A549">
        <v>26</v>
      </c>
      <c r="B549">
        <v>1400000</v>
      </c>
      <c r="C549">
        <v>4</v>
      </c>
      <c r="D549">
        <v>0</v>
      </c>
      <c r="E549">
        <v>1</v>
      </c>
      <c r="F549">
        <v>1</v>
      </c>
      <c r="G549">
        <v>0</v>
      </c>
      <c r="H549">
        <v>1</v>
      </c>
      <c r="I549">
        <v>1</v>
      </c>
      <c r="J549" t="s">
        <v>0</v>
      </c>
    </row>
    <row r="550" spans="1:10" x14ac:dyDescent="0.3">
      <c r="A550">
        <v>27</v>
      </c>
      <c r="B550">
        <v>850000</v>
      </c>
      <c r="C550">
        <v>5</v>
      </c>
      <c r="D550">
        <v>1</v>
      </c>
      <c r="E550">
        <v>1</v>
      </c>
      <c r="F550">
        <v>0</v>
      </c>
      <c r="G550">
        <v>0</v>
      </c>
      <c r="H550">
        <v>0</v>
      </c>
      <c r="I550">
        <v>0</v>
      </c>
      <c r="J550" t="s">
        <v>0</v>
      </c>
    </row>
    <row r="551" spans="1:10" x14ac:dyDescent="0.3">
      <c r="A551">
        <v>28</v>
      </c>
      <c r="B551">
        <v>300000</v>
      </c>
      <c r="C551">
        <v>5</v>
      </c>
      <c r="D551">
        <v>0</v>
      </c>
      <c r="E551">
        <v>0</v>
      </c>
      <c r="F551">
        <v>1</v>
      </c>
      <c r="G551">
        <v>0</v>
      </c>
      <c r="H551">
        <v>0</v>
      </c>
      <c r="I551">
        <v>0</v>
      </c>
      <c r="J551" t="s">
        <v>0</v>
      </c>
    </row>
    <row r="552" spans="1:10" x14ac:dyDescent="0.3">
      <c r="A552">
        <v>34</v>
      </c>
      <c r="B552">
        <v>1050000</v>
      </c>
      <c r="C552">
        <v>5</v>
      </c>
      <c r="D552">
        <v>0</v>
      </c>
      <c r="E552">
        <v>1</v>
      </c>
      <c r="F552">
        <v>0</v>
      </c>
      <c r="G552">
        <v>0</v>
      </c>
      <c r="H552">
        <v>0</v>
      </c>
      <c r="I552">
        <v>0</v>
      </c>
      <c r="J552" t="s">
        <v>0</v>
      </c>
    </row>
    <row r="553" spans="1:10" hidden="1" x14ac:dyDescent="0.3">
      <c r="A553">
        <v>25</v>
      </c>
      <c r="B553">
        <v>1400000</v>
      </c>
      <c r="C553">
        <v>9</v>
      </c>
      <c r="D553">
        <v>0</v>
      </c>
      <c r="E553">
        <v>1</v>
      </c>
      <c r="F553">
        <v>1</v>
      </c>
      <c r="G553">
        <v>0</v>
      </c>
      <c r="H553">
        <v>1</v>
      </c>
      <c r="I553">
        <v>1</v>
      </c>
      <c r="J553" t="s">
        <v>0</v>
      </c>
    </row>
    <row r="554" spans="1:10" x14ac:dyDescent="0.3">
      <c r="A554">
        <v>27</v>
      </c>
      <c r="B554">
        <v>1050000</v>
      </c>
      <c r="C554">
        <v>4</v>
      </c>
      <c r="D554">
        <v>1</v>
      </c>
      <c r="E554">
        <v>1</v>
      </c>
      <c r="F554">
        <v>0</v>
      </c>
      <c r="G554">
        <v>0</v>
      </c>
      <c r="H554">
        <v>0</v>
      </c>
      <c r="I554">
        <v>0</v>
      </c>
      <c r="J554" t="s">
        <v>0</v>
      </c>
    </row>
    <row r="555" spans="1:10" x14ac:dyDescent="0.3">
      <c r="A555">
        <v>33</v>
      </c>
      <c r="B555">
        <v>1400000</v>
      </c>
      <c r="C555">
        <v>5</v>
      </c>
      <c r="D555">
        <v>0</v>
      </c>
      <c r="E555">
        <v>1</v>
      </c>
      <c r="F555">
        <v>0</v>
      </c>
      <c r="G555">
        <v>1</v>
      </c>
      <c r="H555">
        <v>1</v>
      </c>
      <c r="I555">
        <v>0</v>
      </c>
      <c r="J555" t="s">
        <v>0</v>
      </c>
    </row>
    <row r="556" spans="1:10" x14ac:dyDescent="0.3">
      <c r="A556">
        <v>32</v>
      </c>
      <c r="B556">
        <v>800000</v>
      </c>
      <c r="C556">
        <v>6</v>
      </c>
      <c r="D556">
        <v>1</v>
      </c>
      <c r="E556">
        <v>1</v>
      </c>
      <c r="F556">
        <v>0</v>
      </c>
      <c r="G556">
        <v>0</v>
      </c>
      <c r="H556">
        <v>0</v>
      </c>
      <c r="I556">
        <v>0</v>
      </c>
      <c r="J556" t="s">
        <v>0</v>
      </c>
    </row>
    <row r="557" spans="1:10" x14ac:dyDescent="0.3">
      <c r="A557">
        <v>26</v>
      </c>
      <c r="B557">
        <v>1750000</v>
      </c>
      <c r="C557">
        <v>4</v>
      </c>
      <c r="D557">
        <v>0</v>
      </c>
      <c r="E557">
        <v>1</v>
      </c>
      <c r="F557">
        <v>0</v>
      </c>
      <c r="G557">
        <v>0</v>
      </c>
      <c r="H557">
        <v>0</v>
      </c>
      <c r="I557">
        <v>0</v>
      </c>
      <c r="J557" t="s">
        <v>0</v>
      </c>
    </row>
    <row r="558" spans="1:10" x14ac:dyDescent="0.3">
      <c r="A558">
        <v>33</v>
      </c>
      <c r="B558">
        <v>550000</v>
      </c>
      <c r="C558">
        <v>4</v>
      </c>
      <c r="D558">
        <v>0</v>
      </c>
      <c r="E558">
        <v>1</v>
      </c>
      <c r="F558">
        <v>1</v>
      </c>
      <c r="G558">
        <v>0</v>
      </c>
      <c r="H558">
        <v>0</v>
      </c>
      <c r="I558">
        <v>0</v>
      </c>
      <c r="J558" t="s">
        <v>0</v>
      </c>
    </row>
    <row r="559" spans="1:10" x14ac:dyDescent="0.3">
      <c r="A559">
        <v>27</v>
      </c>
      <c r="B559">
        <v>1050000</v>
      </c>
      <c r="C559">
        <v>3</v>
      </c>
      <c r="D559">
        <v>1</v>
      </c>
      <c r="E559">
        <v>1</v>
      </c>
      <c r="F559">
        <v>0</v>
      </c>
      <c r="G559">
        <v>0</v>
      </c>
      <c r="H559">
        <v>0</v>
      </c>
      <c r="I559">
        <v>0</v>
      </c>
      <c r="J559" t="s">
        <v>0</v>
      </c>
    </row>
    <row r="560" spans="1:10" x14ac:dyDescent="0.3">
      <c r="A560">
        <v>34</v>
      </c>
      <c r="B560">
        <v>850000</v>
      </c>
      <c r="C560">
        <v>3</v>
      </c>
      <c r="D560">
        <v>0</v>
      </c>
      <c r="E560">
        <v>1</v>
      </c>
      <c r="F560">
        <v>1</v>
      </c>
      <c r="G560">
        <v>0</v>
      </c>
      <c r="H560">
        <v>0</v>
      </c>
      <c r="I560">
        <v>0</v>
      </c>
      <c r="J560" t="s">
        <v>0</v>
      </c>
    </row>
    <row r="561" spans="1:10" hidden="1" x14ac:dyDescent="0.3">
      <c r="A561">
        <v>29</v>
      </c>
      <c r="B561">
        <v>1200000</v>
      </c>
      <c r="C561">
        <v>3</v>
      </c>
      <c r="D561">
        <v>0</v>
      </c>
      <c r="E561">
        <v>1</v>
      </c>
      <c r="F561">
        <v>0</v>
      </c>
      <c r="G561">
        <v>0</v>
      </c>
      <c r="H561">
        <v>0</v>
      </c>
      <c r="I561">
        <v>1</v>
      </c>
      <c r="J561" t="s">
        <v>0</v>
      </c>
    </row>
    <row r="562" spans="1:10" hidden="1" x14ac:dyDescent="0.3">
      <c r="A562">
        <v>26</v>
      </c>
      <c r="B562">
        <v>1400000</v>
      </c>
      <c r="C562">
        <v>7</v>
      </c>
      <c r="D562">
        <v>0</v>
      </c>
      <c r="E562">
        <v>1</v>
      </c>
      <c r="F562">
        <v>0</v>
      </c>
      <c r="G562">
        <v>0</v>
      </c>
      <c r="H562">
        <v>1</v>
      </c>
      <c r="I562">
        <v>1</v>
      </c>
      <c r="J562" t="s">
        <v>0</v>
      </c>
    </row>
    <row r="563" spans="1:10" x14ac:dyDescent="0.3">
      <c r="A563">
        <v>29</v>
      </c>
      <c r="B563">
        <v>1050000</v>
      </c>
      <c r="C563">
        <v>9</v>
      </c>
      <c r="D563">
        <v>0</v>
      </c>
      <c r="E563">
        <v>1</v>
      </c>
      <c r="F563">
        <v>0</v>
      </c>
      <c r="G563">
        <v>0</v>
      </c>
      <c r="H563">
        <v>0</v>
      </c>
      <c r="I563">
        <v>0</v>
      </c>
      <c r="J563" t="s">
        <v>0</v>
      </c>
    </row>
    <row r="564" spans="1:10" x14ac:dyDescent="0.3">
      <c r="A564">
        <v>33</v>
      </c>
      <c r="B564">
        <v>1000000</v>
      </c>
      <c r="C564">
        <v>4</v>
      </c>
      <c r="D564">
        <v>1</v>
      </c>
      <c r="E564">
        <v>1</v>
      </c>
      <c r="F564">
        <v>0</v>
      </c>
      <c r="G564">
        <v>0</v>
      </c>
      <c r="H564">
        <v>1</v>
      </c>
      <c r="I564">
        <v>0</v>
      </c>
      <c r="J564" t="s">
        <v>0</v>
      </c>
    </row>
    <row r="565" spans="1:10" hidden="1" x14ac:dyDescent="0.3">
      <c r="A565">
        <v>33</v>
      </c>
      <c r="B565">
        <v>550000</v>
      </c>
      <c r="C565">
        <v>3</v>
      </c>
      <c r="D565">
        <v>0</v>
      </c>
      <c r="E565">
        <v>1</v>
      </c>
      <c r="F565">
        <v>1</v>
      </c>
      <c r="G565">
        <v>0</v>
      </c>
      <c r="H565">
        <v>0</v>
      </c>
      <c r="I565">
        <v>1</v>
      </c>
      <c r="J565" t="s">
        <v>0</v>
      </c>
    </row>
    <row r="566" spans="1:10" x14ac:dyDescent="0.3">
      <c r="A566">
        <v>29</v>
      </c>
      <c r="B566">
        <v>900000</v>
      </c>
      <c r="C566">
        <v>6</v>
      </c>
      <c r="D566">
        <v>0</v>
      </c>
      <c r="E566">
        <v>1</v>
      </c>
      <c r="F566">
        <v>1</v>
      </c>
      <c r="G566">
        <v>0</v>
      </c>
      <c r="H566">
        <v>0</v>
      </c>
      <c r="I566">
        <v>0</v>
      </c>
      <c r="J566" t="s">
        <v>0</v>
      </c>
    </row>
    <row r="567" spans="1:10" x14ac:dyDescent="0.3">
      <c r="A567">
        <v>28</v>
      </c>
      <c r="B567">
        <v>800000</v>
      </c>
      <c r="C567">
        <v>5</v>
      </c>
      <c r="D567">
        <v>0</v>
      </c>
      <c r="E567">
        <v>1</v>
      </c>
      <c r="F567">
        <v>0</v>
      </c>
      <c r="G567">
        <v>0</v>
      </c>
      <c r="H567">
        <v>0</v>
      </c>
      <c r="I567">
        <v>0</v>
      </c>
      <c r="J567" t="s">
        <v>0</v>
      </c>
    </row>
    <row r="568" spans="1:10" x14ac:dyDescent="0.3">
      <c r="A568">
        <v>27</v>
      </c>
      <c r="B568">
        <v>850000</v>
      </c>
      <c r="C568">
        <v>3</v>
      </c>
      <c r="D568">
        <v>1</v>
      </c>
      <c r="E568">
        <v>1</v>
      </c>
      <c r="F568">
        <v>0</v>
      </c>
      <c r="G568">
        <v>0</v>
      </c>
      <c r="H568">
        <v>1</v>
      </c>
      <c r="I568">
        <v>0</v>
      </c>
      <c r="J568" t="s">
        <v>0</v>
      </c>
    </row>
    <row r="569" spans="1:10" hidden="1" x14ac:dyDescent="0.3">
      <c r="A569">
        <v>35</v>
      </c>
      <c r="B569">
        <v>800000</v>
      </c>
      <c r="C569">
        <v>7</v>
      </c>
      <c r="D569">
        <v>0</v>
      </c>
      <c r="E569">
        <v>0</v>
      </c>
      <c r="F569">
        <v>1</v>
      </c>
      <c r="G569">
        <v>0</v>
      </c>
      <c r="H569">
        <v>1</v>
      </c>
      <c r="I569">
        <v>1</v>
      </c>
      <c r="J569" t="s">
        <v>0</v>
      </c>
    </row>
    <row r="570" spans="1:10" x14ac:dyDescent="0.3">
      <c r="A570">
        <v>35</v>
      </c>
      <c r="B570">
        <v>800000</v>
      </c>
      <c r="C570">
        <v>5</v>
      </c>
      <c r="D570">
        <v>0</v>
      </c>
      <c r="E570">
        <v>0</v>
      </c>
      <c r="F570">
        <v>0</v>
      </c>
      <c r="G570">
        <v>0</v>
      </c>
      <c r="H570">
        <v>0</v>
      </c>
      <c r="I570">
        <v>0</v>
      </c>
      <c r="J570" t="s">
        <v>0</v>
      </c>
    </row>
    <row r="571" spans="1:10" x14ac:dyDescent="0.3">
      <c r="A571">
        <v>27</v>
      </c>
      <c r="B571">
        <v>500000</v>
      </c>
      <c r="C571">
        <v>4</v>
      </c>
      <c r="D571">
        <v>1</v>
      </c>
      <c r="E571">
        <v>1</v>
      </c>
      <c r="F571">
        <v>1</v>
      </c>
      <c r="G571">
        <v>0</v>
      </c>
      <c r="H571">
        <v>0</v>
      </c>
      <c r="I571">
        <v>0</v>
      </c>
      <c r="J571" t="s">
        <v>0</v>
      </c>
    </row>
    <row r="572" spans="1:10" x14ac:dyDescent="0.3">
      <c r="A572">
        <v>25</v>
      </c>
      <c r="B572">
        <v>1150000</v>
      </c>
      <c r="C572">
        <v>5</v>
      </c>
      <c r="D572">
        <v>0</v>
      </c>
      <c r="E572">
        <v>0</v>
      </c>
      <c r="F572">
        <v>1</v>
      </c>
      <c r="G572">
        <v>0</v>
      </c>
      <c r="H572">
        <v>0</v>
      </c>
      <c r="I572">
        <v>0</v>
      </c>
      <c r="J572" t="s">
        <v>0</v>
      </c>
    </row>
    <row r="573" spans="1:10" x14ac:dyDescent="0.3">
      <c r="A573">
        <v>32</v>
      </c>
      <c r="B573">
        <v>850000</v>
      </c>
      <c r="C573">
        <v>5</v>
      </c>
      <c r="D573">
        <v>1</v>
      </c>
      <c r="E573">
        <v>1</v>
      </c>
      <c r="F573">
        <v>1</v>
      </c>
      <c r="G573">
        <v>0</v>
      </c>
      <c r="H573">
        <v>0</v>
      </c>
      <c r="I573">
        <v>0</v>
      </c>
      <c r="J573" t="s">
        <v>0</v>
      </c>
    </row>
    <row r="574" spans="1:10" x14ac:dyDescent="0.3">
      <c r="A574">
        <v>28</v>
      </c>
      <c r="B574">
        <v>550000</v>
      </c>
      <c r="C574">
        <v>5</v>
      </c>
      <c r="D574">
        <v>0</v>
      </c>
      <c r="E574">
        <v>0</v>
      </c>
      <c r="F574">
        <v>0</v>
      </c>
      <c r="G574">
        <v>0</v>
      </c>
      <c r="H574">
        <v>0</v>
      </c>
      <c r="I574">
        <v>0</v>
      </c>
      <c r="J574" t="s">
        <v>0</v>
      </c>
    </row>
    <row r="575" spans="1:10" x14ac:dyDescent="0.3">
      <c r="A575">
        <v>27</v>
      </c>
      <c r="B575">
        <v>350000</v>
      </c>
      <c r="C575">
        <v>3</v>
      </c>
      <c r="D575">
        <v>0</v>
      </c>
      <c r="E575">
        <v>0</v>
      </c>
      <c r="F575">
        <v>0</v>
      </c>
      <c r="G575">
        <v>0</v>
      </c>
      <c r="H575">
        <v>0</v>
      </c>
      <c r="I575">
        <v>0</v>
      </c>
      <c r="J575" t="s">
        <v>0</v>
      </c>
    </row>
    <row r="576" spans="1:10" x14ac:dyDescent="0.3">
      <c r="A576">
        <v>29</v>
      </c>
      <c r="B576">
        <v>1150000</v>
      </c>
      <c r="C576">
        <v>5</v>
      </c>
      <c r="D576">
        <v>0</v>
      </c>
      <c r="E576">
        <v>1</v>
      </c>
      <c r="F576">
        <v>0</v>
      </c>
      <c r="G576">
        <v>1</v>
      </c>
      <c r="H576">
        <v>0</v>
      </c>
      <c r="I576">
        <v>0</v>
      </c>
      <c r="J576" t="s">
        <v>0</v>
      </c>
    </row>
    <row r="577" spans="1:10" hidden="1" x14ac:dyDescent="0.3">
      <c r="A577">
        <v>29</v>
      </c>
      <c r="B577">
        <v>900000</v>
      </c>
      <c r="C577">
        <v>6</v>
      </c>
      <c r="D577">
        <v>0</v>
      </c>
      <c r="E577">
        <v>1</v>
      </c>
      <c r="F577">
        <v>0</v>
      </c>
      <c r="G577">
        <v>1</v>
      </c>
      <c r="H577">
        <v>0</v>
      </c>
      <c r="I577">
        <v>1</v>
      </c>
      <c r="J577" t="s">
        <v>0</v>
      </c>
    </row>
    <row r="578" spans="1:10" hidden="1" x14ac:dyDescent="0.3">
      <c r="A578">
        <v>31</v>
      </c>
      <c r="B578">
        <v>1400000</v>
      </c>
      <c r="C578">
        <v>3</v>
      </c>
      <c r="D578">
        <v>0</v>
      </c>
      <c r="E578">
        <v>1</v>
      </c>
      <c r="F578">
        <v>0</v>
      </c>
      <c r="G578">
        <v>0</v>
      </c>
      <c r="H578">
        <v>1</v>
      </c>
      <c r="I578">
        <v>1</v>
      </c>
      <c r="J578" t="s">
        <v>0</v>
      </c>
    </row>
    <row r="579" spans="1:10" hidden="1" x14ac:dyDescent="0.3">
      <c r="A579">
        <v>27</v>
      </c>
      <c r="B579">
        <v>500000</v>
      </c>
      <c r="C579">
        <v>3</v>
      </c>
      <c r="D579">
        <v>1</v>
      </c>
      <c r="E579">
        <v>1</v>
      </c>
      <c r="F579">
        <v>0</v>
      </c>
      <c r="G579">
        <v>0</v>
      </c>
      <c r="H579">
        <v>0</v>
      </c>
      <c r="I579">
        <v>1</v>
      </c>
      <c r="J579" t="s">
        <v>0</v>
      </c>
    </row>
    <row r="580" spans="1:10" x14ac:dyDescent="0.3">
      <c r="A580">
        <v>34</v>
      </c>
      <c r="B580">
        <v>1000000</v>
      </c>
      <c r="C580">
        <v>4</v>
      </c>
      <c r="D580">
        <v>0</v>
      </c>
      <c r="E580">
        <v>1</v>
      </c>
      <c r="F580">
        <v>0</v>
      </c>
      <c r="G580">
        <v>0</v>
      </c>
      <c r="H580">
        <v>0</v>
      </c>
      <c r="I580">
        <v>0</v>
      </c>
      <c r="J580" t="s">
        <v>0</v>
      </c>
    </row>
    <row r="581" spans="1:10" x14ac:dyDescent="0.3">
      <c r="A581">
        <v>33</v>
      </c>
      <c r="B581">
        <v>400000</v>
      </c>
      <c r="C581">
        <v>3</v>
      </c>
      <c r="D581">
        <v>1</v>
      </c>
      <c r="E581">
        <v>1</v>
      </c>
      <c r="F581">
        <v>0</v>
      </c>
      <c r="G581">
        <v>0</v>
      </c>
      <c r="H581">
        <v>0</v>
      </c>
      <c r="I581">
        <v>0</v>
      </c>
      <c r="J581" t="s">
        <v>0</v>
      </c>
    </row>
    <row r="582" spans="1:10" x14ac:dyDescent="0.3">
      <c r="A582">
        <v>31</v>
      </c>
      <c r="B582">
        <v>1250000</v>
      </c>
      <c r="C582">
        <v>4</v>
      </c>
      <c r="D582">
        <v>0</v>
      </c>
      <c r="E582">
        <v>1</v>
      </c>
      <c r="F582">
        <v>0</v>
      </c>
      <c r="G582">
        <v>0</v>
      </c>
      <c r="H582">
        <v>0</v>
      </c>
      <c r="I582">
        <v>0</v>
      </c>
      <c r="J582" t="s">
        <v>0</v>
      </c>
    </row>
    <row r="583" spans="1:10" x14ac:dyDescent="0.3">
      <c r="A583">
        <v>28</v>
      </c>
      <c r="B583">
        <v>700000</v>
      </c>
      <c r="C583">
        <v>4</v>
      </c>
      <c r="D583">
        <v>0</v>
      </c>
      <c r="E583">
        <v>1</v>
      </c>
      <c r="F583">
        <v>1</v>
      </c>
      <c r="G583">
        <v>0</v>
      </c>
      <c r="H583">
        <v>0</v>
      </c>
      <c r="I583">
        <v>0</v>
      </c>
      <c r="J583" t="s">
        <v>0</v>
      </c>
    </row>
    <row r="584" spans="1:10" x14ac:dyDescent="0.3">
      <c r="A584">
        <v>29</v>
      </c>
      <c r="B584">
        <v>1100000</v>
      </c>
      <c r="C584">
        <v>3</v>
      </c>
      <c r="D584">
        <v>0</v>
      </c>
      <c r="E584">
        <v>1</v>
      </c>
      <c r="F584">
        <v>0</v>
      </c>
      <c r="G584">
        <v>0</v>
      </c>
      <c r="H584">
        <v>0</v>
      </c>
      <c r="I584">
        <v>0</v>
      </c>
      <c r="J584" t="s">
        <v>0</v>
      </c>
    </row>
    <row r="585" spans="1:10" hidden="1" x14ac:dyDescent="0.3">
      <c r="A585">
        <v>29</v>
      </c>
      <c r="B585">
        <v>500000</v>
      </c>
      <c r="C585">
        <v>3</v>
      </c>
      <c r="D585">
        <v>0</v>
      </c>
      <c r="E585">
        <v>1</v>
      </c>
      <c r="F585">
        <v>0</v>
      </c>
      <c r="G585">
        <v>0</v>
      </c>
      <c r="H585">
        <v>0</v>
      </c>
      <c r="I585">
        <v>1</v>
      </c>
      <c r="J585" t="s">
        <v>0</v>
      </c>
    </row>
    <row r="586" spans="1:10" x14ac:dyDescent="0.3">
      <c r="A586">
        <v>29</v>
      </c>
      <c r="B586">
        <v>900000</v>
      </c>
      <c r="C586">
        <v>5</v>
      </c>
      <c r="D586">
        <v>0</v>
      </c>
      <c r="E586">
        <v>1</v>
      </c>
      <c r="F586">
        <v>0</v>
      </c>
      <c r="G586">
        <v>0</v>
      </c>
      <c r="H586">
        <v>0</v>
      </c>
      <c r="I586">
        <v>0</v>
      </c>
      <c r="J586" t="s">
        <v>0</v>
      </c>
    </row>
    <row r="587" spans="1:10" hidden="1" x14ac:dyDescent="0.3">
      <c r="A587">
        <v>34</v>
      </c>
      <c r="B587">
        <v>1400000</v>
      </c>
      <c r="C587">
        <v>7</v>
      </c>
      <c r="D587">
        <v>0</v>
      </c>
      <c r="E587">
        <v>0</v>
      </c>
      <c r="F587">
        <v>1</v>
      </c>
      <c r="G587">
        <v>0</v>
      </c>
      <c r="H587">
        <v>1</v>
      </c>
      <c r="I587">
        <v>1</v>
      </c>
      <c r="J587" t="s">
        <v>0</v>
      </c>
    </row>
    <row r="588" spans="1:10" x14ac:dyDescent="0.3">
      <c r="A588">
        <v>28</v>
      </c>
      <c r="B588">
        <v>300000</v>
      </c>
      <c r="C588">
        <v>7</v>
      </c>
      <c r="D588">
        <v>1</v>
      </c>
      <c r="E588">
        <v>1</v>
      </c>
      <c r="F588">
        <v>0</v>
      </c>
      <c r="G588">
        <v>0</v>
      </c>
      <c r="H588">
        <v>0</v>
      </c>
      <c r="I588">
        <v>0</v>
      </c>
      <c r="J588" t="s">
        <v>0</v>
      </c>
    </row>
    <row r="589" spans="1:10" hidden="1" x14ac:dyDescent="0.3">
      <c r="A589">
        <v>29</v>
      </c>
      <c r="B589">
        <v>900000</v>
      </c>
      <c r="C589">
        <v>9</v>
      </c>
      <c r="D589">
        <v>0</v>
      </c>
      <c r="E589">
        <v>1</v>
      </c>
      <c r="F589">
        <v>1</v>
      </c>
      <c r="G589">
        <v>0</v>
      </c>
      <c r="H589">
        <v>0</v>
      </c>
      <c r="I589">
        <v>1</v>
      </c>
      <c r="J589" t="s">
        <v>0</v>
      </c>
    </row>
    <row r="590" spans="1:10" hidden="1" x14ac:dyDescent="0.3">
      <c r="A590">
        <v>35</v>
      </c>
      <c r="B590">
        <v>800000</v>
      </c>
      <c r="C590">
        <v>6</v>
      </c>
      <c r="D590">
        <v>0</v>
      </c>
      <c r="E590">
        <v>0</v>
      </c>
      <c r="F590">
        <v>0</v>
      </c>
      <c r="G590">
        <v>0</v>
      </c>
      <c r="H590">
        <v>0</v>
      </c>
      <c r="I590">
        <v>1</v>
      </c>
      <c r="J590" t="s">
        <v>0</v>
      </c>
    </row>
    <row r="591" spans="1:10" hidden="1" x14ac:dyDescent="0.3">
      <c r="A591">
        <v>26</v>
      </c>
      <c r="B591">
        <v>1400000</v>
      </c>
      <c r="C591">
        <v>3</v>
      </c>
      <c r="D591">
        <v>0</v>
      </c>
      <c r="E591">
        <v>1</v>
      </c>
      <c r="F591">
        <v>0</v>
      </c>
      <c r="G591">
        <v>0</v>
      </c>
      <c r="H591">
        <v>1</v>
      </c>
      <c r="I591">
        <v>1</v>
      </c>
      <c r="J591" t="s">
        <v>0</v>
      </c>
    </row>
    <row r="592" spans="1:10" x14ac:dyDescent="0.3">
      <c r="A592">
        <v>28</v>
      </c>
      <c r="B592">
        <v>500000</v>
      </c>
      <c r="C592">
        <v>5</v>
      </c>
      <c r="D592">
        <v>0</v>
      </c>
      <c r="E592">
        <v>1</v>
      </c>
      <c r="F592">
        <v>0</v>
      </c>
      <c r="G592">
        <v>0</v>
      </c>
      <c r="H592">
        <v>0</v>
      </c>
      <c r="I592">
        <v>0</v>
      </c>
      <c r="J592" t="s">
        <v>0</v>
      </c>
    </row>
    <row r="593" spans="1:10" x14ac:dyDescent="0.3">
      <c r="A593">
        <v>25</v>
      </c>
      <c r="B593">
        <v>1150000</v>
      </c>
      <c r="C593">
        <v>3</v>
      </c>
      <c r="D593">
        <v>0</v>
      </c>
      <c r="E593">
        <v>0</v>
      </c>
      <c r="F593">
        <v>1</v>
      </c>
      <c r="G593">
        <v>0</v>
      </c>
      <c r="H593">
        <v>0</v>
      </c>
      <c r="I593">
        <v>0</v>
      </c>
      <c r="J593" t="s">
        <v>0</v>
      </c>
    </row>
    <row r="594" spans="1:10" hidden="1" x14ac:dyDescent="0.3">
      <c r="A594">
        <v>25</v>
      </c>
      <c r="B594">
        <v>1700000</v>
      </c>
      <c r="C594">
        <v>4</v>
      </c>
      <c r="D594">
        <v>0</v>
      </c>
      <c r="E594">
        <v>1</v>
      </c>
      <c r="F594">
        <v>0</v>
      </c>
      <c r="G594">
        <v>1</v>
      </c>
      <c r="H594">
        <v>0</v>
      </c>
      <c r="I594">
        <v>1</v>
      </c>
      <c r="J594" t="s">
        <v>0</v>
      </c>
    </row>
    <row r="595" spans="1:10" x14ac:dyDescent="0.3">
      <c r="A595">
        <v>28</v>
      </c>
      <c r="B595">
        <v>600000</v>
      </c>
      <c r="C595">
        <v>4</v>
      </c>
      <c r="D595">
        <v>1</v>
      </c>
      <c r="E595">
        <v>1</v>
      </c>
      <c r="F595">
        <v>0</v>
      </c>
      <c r="G595">
        <v>0</v>
      </c>
      <c r="H595">
        <v>0</v>
      </c>
      <c r="I595">
        <v>0</v>
      </c>
      <c r="J595" t="s">
        <v>0</v>
      </c>
    </row>
    <row r="596" spans="1:10" x14ac:dyDescent="0.3">
      <c r="A596">
        <v>33</v>
      </c>
      <c r="B596">
        <v>550000</v>
      </c>
      <c r="C596">
        <v>5</v>
      </c>
      <c r="D596">
        <v>0</v>
      </c>
      <c r="E596">
        <v>1</v>
      </c>
      <c r="F596">
        <v>0</v>
      </c>
      <c r="G596">
        <v>1</v>
      </c>
      <c r="H596">
        <v>0</v>
      </c>
      <c r="I596">
        <v>0</v>
      </c>
      <c r="J596" t="s">
        <v>0</v>
      </c>
    </row>
    <row r="597" spans="1:10" x14ac:dyDescent="0.3">
      <c r="A597">
        <v>25</v>
      </c>
      <c r="B597">
        <v>1150000</v>
      </c>
      <c r="C597">
        <v>5</v>
      </c>
      <c r="D597">
        <v>0</v>
      </c>
      <c r="E597">
        <v>0</v>
      </c>
      <c r="F597">
        <v>1</v>
      </c>
      <c r="G597">
        <v>1</v>
      </c>
      <c r="H597">
        <v>0</v>
      </c>
      <c r="I597">
        <v>0</v>
      </c>
      <c r="J597" t="s">
        <v>0</v>
      </c>
    </row>
    <row r="598" spans="1:10" hidden="1" x14ac:dyDescent="0.3">
      <c r="A598">
        <v>31</v>
      </c>
      <c r="B598">
        <v>1350000</v>
      </c>
      <c r="C598">
        <v>5</v>
      </c>
      <c r="D598">
        <v>0</v>
      </c>
      <c r="E598">
        <v>1</v>
      </c>
      <c r="F598">
        <v>0</v>
      </c>
      <c r="G598">
        <v>0</v>
      </c>
      <c r="H598">
        <v>1</v>
      </c>
      <c r="I598">
        <v>1</v>
      </c>
      <c r="J598" t="s">
        <v>0</v>
      </c>
    </row>
    <row r="599" spans="1:10" x14ac:dyDescent="0.3">
      <c r="A599">
        <v>34</v>
      </c>
      <c r="B599">
        <v>1000000</v>
      </c>
      <c r="C599">
        <v>4</v>
      </c>
      <c r="D599">
        <v>0</v>
      </c>
      <c r="E599">
        <v>1</v>
      </c>
      <c r="F599">
        <v>0</v>
      </c>
      <c r="G599">
        <v>0</v>
      </c>
      <c r="H599">
        <v>0</v>
      </c>
      <c r="I599">
        <v>0</v>
      </c>
      <c r="J599" t="s">
        <v>0</v>
      </c>
    </row>
    <row r="600" spans="1:10" hidden="1" x14ac:dyDescent="0.3">
      <c r="A600">
        <v>35</v>
      </c>
      <c r="B600">
        <v>800000</v>
      </c>
      <c r="C600">
        <v>6</v>
      </c>
      <c r="D600">
        <v>0</v>
      </c>
      <c r="E600">
        <v>0</v>
      </c>
      <c r="F600">
        <v>0</v>
      </c>
      <c r="G600">
        <v>1</v>
      </c>
      <c r="H600">
        <v>0</v>
      </c>
      <c r="I600">
        <v>1</v>
      </c>
      <c r="J600" t="s">
        <v>0</v>
      </c>
    </row>
    <row r="601" spans="1:10" x14ac:dyDescent="0.3">
      <c r="A601">
        <v>34</v>
      </c>
      <c r="B601">
        <v>700000</v>
      </c>
      <c r="C601">
        <v>4</v>
      </c>
      <c r="D601">
        <v>0</v>
      </c>
      <c r="E601">
        <v>1</v>
      </c>
      <c r="F601">
        <v>1</v>
      </c>
      <c r="G601">
        <v>0</v>
      </c>
      <c r="H601">
        <v>0</v>
      </c>
      <c r="I601">
        <v>0</v>
      </c>
      <c r="J601" t="s">
        <v>0</v>
      </c>
    </row>
    <row r="602" spans="1:10" hidden="1" x14ac:dyDescent="0.3">
      <c r="A602">
        <v>34</v>
      </c>
      <c r="B602">
        <v>1500000</v>
      </c>
      <c r="C602">
        <v>4</v>
      </c>
      <c r="D602">
        <v>0</v>
      </c>
      <c r="E602">
        <v>1</v>
      </c>
      <c r="F602">
        <v>1</v>
      </c>
      <c r="G602">
        <v>1</v>
      </c>
      <c r="H602">
        <v>1</v>
      </c>
      <c r="I602">
        <v>1</v>
      </c>
      <c r="J602" t="s">
        <v>0</v>
      </c>
    </row>
    <row r="603" spans="1:10" x14ac:dyDescent="0.3">
      <c r="A603">
        <v>34</v>
      </c>
      <c r="B603">
        <v>1300000</v>
      </c>
      <c r="C603">
        <v>5</v>
      </c>
      <c r="D603">
        <v>0</v>
      </c>
      <c r="E603">
        <v>1</v>
      </c>
      <c r="F603">
        <v>0</v>
      </c>
      <c r="G603">
        <v>0</v>
      </c>
      <c r="H603">
        <v>0</v>
      </c>
      <c r="I603">
        <v>0</v>
      </c>
      <c r="J603" t="s">
        <v>0</v>
      </c>
    </row>
    <row r="604" spans="1:10" hidden="1" x14ac:dyDescent="0.3">
      <c r="A604">
        <v>34</v>
      </c>
      <c r="B604">
        <v>1500000</v>
      </c>
      <c r="C604">
        <v>4</v>
      </c>
      <c r="D604">
        <v>0</v>
      </c>
      <c r="E604">
        <v>1</v>
      </c>
      <c r="F604">
        <v>0</v>
      </c>
      <c r="G604">
        <v>1</v>
      </c>
      <c r="H604">
        <v>1</v>
      </c>
      <c r="I604">
        <v>1</v>
      </c>
      <c r="J604" t="s">
        <v>0</v>
      </c>
    </row>
    <row r="605" spans="1:10" hidden="1" x14ac:dyDescent="0.3">
      <c r="A605">
        <v>33</v>
      </c>
      <c r="B605">
        <v>1400000</v>
      </c>
      <c r="C605">
        <v>6</v>
      </c>
      <c r="D605">
        <v>0</v>
      </c>
      <c r="E605">
        <v>1</v>
      </c>
      <c r="F605">
        <v>1</v>
      </c>
      <c r="G605">
        <v>0</v>
      </c>
      <c r="H605">
        <v>1</v>
      </c>
      <c r="I605">
        <v>1</v>
      </c>
      <c r="J605" t="s">
        <v>0</v>
      </c>
    </row>
    <row r="606" spans="1:10" x14ac:dyDescent="0.3">
      <c r="A606">
        <v>32</v>
      </c>
      <c r="B606">
        <v>350000</v>
      </c>
      <c r="C606">
        <v>7</v>
      </c>
      <c r="D606">
        <v>1</v>
      </c>
      <c r="E606">
        <v>1</v>
      </c>
      <c r="F606">
        <v>0</v>
      </c>
      <c r="G606">
        <v>0</v>
      </c>
      <c r="H606">
        <v>0</v>
      </c>
      <c r="I606">
        <v>0</v>
      </c>
      <c r="J606" t="s">
        <v>0</v>
      </c>
    </row>
    <row r="607" spans="1:10" hidden="1" x14ac:dyDescent="0.3">
      <c r="A607">
        <v>28</v>
      </c>
      <c r="B607">
        <v>1250000</v>
      </c>
      <c r="C607">
        <v>5</v>
      </c>
      <c r="D607">
        <v>0</v>
      </c>
      <c r="E607">
        <v>1</v>
      </c>
      <c r="F607">
        <v>0</v>
      </c>
      <c r="G607">
        <v>0</v>
      </c>
      <c r="H607">
        <v>1</v>
      </c>
      <c r="I607">
        <v>1</v>
      </c>
      <c r="J607" t="s">
        <v>0</v>
      </c>
    </row>
    <row r="608" spans="1:10" x14ac:dyDescent="0.3">
      <c r="A608">
        <v>28</v>
      </c>
      <c r="B608">
        <v>800000</v>
      </c>
      <c r="C608">
        <v>3</v>
      </c>
      <c r="D608">
        <v>0</v>
      </c>
      <c r="E608">
        <v>1</v>
      </c>
      <c r="F608">
        <v>0</v>
      </c>
      <c r="G608">
        <v>0</v>
      </c>
      <c r="H608">
        <v>0</v>
      </c>
      <c r="I608">
        <v>0</v>
      </c>
      <c r="J608" t="s">
        <v>0</v>
      </c>
    </row>
    <row r="609" spans="1:10" x14ac:dyDescent="0.3">
      <c r="A609">
        <v>28</v>
      </c>
      <c r="B609">
        <v>550000</v>
      </c>
      <c r="C609">
        <v>8</v>
      </c>
      <c r="D609">
        <v>0</v>
      </c>
      <c r="E609">
        <v>1</v>
      </c>
      <c r="F609">
        <v>1</v>
      </c>
      <c r="G609">
        <v>0</v>
      </c>
      <c r="H609">
        <v>0</v>
      </c>
      <c r="I609">
        <v>0</v>
      </c>
      <c r="J609" t="s">
        <v>0</v>
      </c>
    </row>
    <row r="610" spans="1:10" hidden="1" x14ac:dyDescent="0.3">
      <c r="A610">
        <v>28</v>
      </c>
      <c r="B610">
        <v>800000</v>
      </c>
      <c r="C610">
        <v>4</v>
      </c>
      <c r="D610">
        <v>0</v>
      </c>
      <c r="E610">
        <v>1</v>
      </c>
      <c r="F610">
        <v>1</v>
      </c>
      <c r="G610">
        <v>1</v>
      </c>
      <c r="H610">
        <v>0</v>
      </c>
      <c r="I610">
        <v>1</v>
      </c>
      <c r="J610" t="s">
        <v>0</v>
      </c>
    </row>
    <row r="611" spans="1:10" hidden="1" x14ac:dyDescent="0.3">
      <c r="A611">
        <v>28</v>
      </c>
      <c r="B611">
        <v>700000</v>
      </c>
      <c r="C611">
        <v>7</v>
      </c>
      <c r="D611">
        <v>0</v>
      </c>
      <c r="E611">
        <v>1</v>
      </c>
      <c r="F611">
        <v>1</v>
      </c>
      <c r="G611">
        <v>1</v>
      </c>
      <c r="H611">
        <v>1</v>
      </c>
      <c r="I611">
        <v>1</v>
      </c>
      <c r="J611" t="s">
        <v>0</v>
      </c>
    </row>
    <row r="612" spans="1:10" x14ac:dyDescent="0.3">
      <c r="A612">
        <v>31</v>
      </c>
      <c r="B612">
        <v>900000</v>
      </c>
      <c r="C612">
        <v>8</v>
      </c>
      <c r="D612">
        <v>0</v>
      </c>
      <c r="E612">
        <v>1</v>
      </c>
      <c r="F612">
        <v>0</v>
      </c>
      <c r="G612">
        <v>0</v>
      </c>
      <c r="H612">
        <v>1</v>
      </c>
      <c r="I612">
        <v>0</v>
      </c>
      <c r="J612" t="s">
        <v>0</v>
      </c>
    </row>
    <row r="613" spans="1:10" x14ac:dyDescent="0.3">
      <c r="A613">
        <v>28</v>
      </c>
      <c r="B613">
        <v>500000</v>
      </c>
      <c r="C613">
        <v>6</v>
      </c>
      <c r="D613">
        <v>0</v>
      </c>
      <c r="E613">
        <v>1</v>
      </c>
      <c r="F613">
        <v>1</v>
      </c>
      <c r="G613">
        <v>0</v>
      </c>
      <c r="H613">
        <v>0</v>
      </c>
      <c r="I613">
        <v>0</v>
      </c>
      <c r="J613" t="s">
        <v>0</v>
      </c>
    </row>
    <row r="614" spans="1:10" x14ac:dyDescent="0.3">
      <c r="A614">
        <v>28</v>
      </c>
      <c r="B614">
        <v>550000</v>
      </c>
      <c r="C614">
        <v>9</v>
      </c>
      <c r="D614">
        <v>0</v>
      </c>
      <c r="E614">
        <v>1</v>
      </c>
      <c r="F614">
        <v>0</v>
      </c>
      <c r="G614">
        <v>0</v>
      </c>
      <c r="H614">
        <v>0</v>
      </c>
      <c r="I614">
        <v>0</v>
      </c>
      <c r="J614" t="s">
        <v>0</v>
      </c>
    </row>
    <row r="615" spans="1:10" x14ac:dyDescent="0.3">
      <c r="A615">
        <v>31</v>
      </c>
      <c r="B615">
        <v>1250000</v>
      </c>
      <c r="C615">
        <v>6</v>
      </c>
      <c r="D615">
        <v>0</v>
      </c>
      <c r="E615">
        <v>1</v>
      </c>
      <c r="F615">
        <v>0</v>
      </c>
      <c r="G615">
        <v>0</v>
      </c>
      <c r="H615">
        <v>0</v>
      </c>
      <c r="I615">
        <v>0</v>
      </c>
      <c r="J615" t="s">
        <v>0</v>
      </c>
    </row>
    <row r="616" spans="1:10" x14ac:dyDescent="0.3">
      <c r="A616">
        <v>34</v>
      </c>
      <c r="B616">
        <v>1000000</v>
      </c>
      <c r="C616">
        <v>5</v>
      </c>
      <c r="D616">
        <v>0</v>
      </c>
      <c r="E616">
        <v>1</v>
      </c>
      <c r="F616">
        <v>1</v>
      </c>
      <c r="G616">
        <v>0</v>
      </c>
      <c r="H616">
        <v>0</v>
      </c>
      <c r="I616">
        <v>0</v>
      </c>
      <c r="J616" t="s">
        <v>0</v>
      </c>
    </row>
    <row r="617" spans="1:10" x14ac:dyDescent="0.3">
      <c r="A617">
        <v>28</v>
      </c>
      <c r="B617">
        <v>300000</v>
      </c>
      <c r="C617">
        <v>3</v>
      </c>
      <c r="D617">
        <v>1</v>
      </c>
      <c r="E617">
        <v>1</v>
      </c>
      <c r="F617">
        <v>1</v>
      </c>
      <c r="G617">
        <v>0</v>
      </c>
      <c r="H617">
        <v>0</v>
      </c>
      <c r="I617">
        <v>0</v>
      </c>
      <c r="J617" t="s">
        <v>0</v>
      </c>
    </row>
    <row r="618" spans="1:10" x14ac:dyDescent="0.3">
      <c r="A618">
        <v>27</v>
      </c>
      <c r="B618">
        <v>750000</v>
      </c>
      <c r="C618">
        <v>7</v>
      </c>
      <c r="D618">
        <v>1</v>
      </c>
      <c r="E618">
        <v>1</v>
      </c>
      <c r="F618">
        <v>1</v>
      </c>
      <c r="G618">
        <v>0</v>
      </c>
      <c r="H618">
        <v>1</v>
      </c>
      <c r="I618">
        <v>0</v>
      </c>
      <c r="J618" t="s">
        <v>0</v>
      </c>
    </row>
    <row r="619" spans="1:10" hidden="1" x14ac:dyDescent="0.3">
      <c r="A619">
        <v>30</v>
      </c>
      <c r="B619">
        <v>550000</v>
      </c>
      <c r="C619">
        <v>5</v>
      </c>
      <c r="D619">
        <v>0</v>
      </c>
      <c r="E619">
        <v>0</v>
      </c>
      <c r="F619">
        <v>0</v>
      </c>
      <c r="G619">
        <v>1</v>
      </c>
      <c r="H619">
        <v>0</v>
      </c>
      <c r="I619">
        <v>1</v>
      </c>
      <c r="J619" t="s">
        <v>0</v>
      </c>
    </row>
    <row r="620" spans="1:10" hidden="1" x14ac:dyDescent="0.3">
      <c r="A620">
        <v>31</v>
      </c>
      <c r="B620">
        <v>1650000</v>
      </c>
      <c r="C620">
        <v>2</v>
      </c>
      <c r="D620">
        <v>0</v>
      </c>
      <c r="E620">
        <v>1</v>
      </c>
      <c r="F620">
        <v>0</v>
      </c>
      <c r="G620">
        <v>1</v>
      </c>
      <c r="H620">
        <v>0</v>
      </c>
      <c r="I620">
        <v>1</v>
      </c>
      <c r="J620" t="s">
        <v>0</v>
      </c>
    </row>
    <row r="621" spans="1:10" hidden="1" x14ac:dyDescent="0.3">
      <c r="A621">
        <v>35</v>
      </c>
      <c r="B621">
        <v>1100000</v>
      </c>
      <c r="C621">
        <v>6</v>
      </c>
      <c r="D621">
        <v>1</v>
      </c>
      <c r="E621">
        <v>1</v>
      </c>
      <c r="F621">
        <v>0</v>
      </c>
      <c r="G621">
        <v>0</v>
      </c>
      <c r="H621">
        <v>0</v>
      </c>
      <c r="I621">
        <v>1</v>
      </c>
      <c r="J621" t="s">
        <v>0</v>
      </c>
    </row>
    <row r="622" spans="1:10" x14ac:dyDescent="0.3">
      <c r="A622">
        <v>29</v>
      </c>
      <c r="B622">
        <v>1050000</v>
      </c>
      <c r="C622">
        <v>4</v>
      </c>
      <c r="D622">
        <v>0</v>
      </c>
      <c r="E622">
        <v>1</v>
      </c>
      <c r="F622">
        <v>0</v>
      </c>
      <c r="G622">
        <v>1</v>
      </c>
      <c r="H622">
        <v>0</v>
      </c>
      <c r="I622">
        <v>0</v>
      </c>
      <c r="J622" t="s">
        <v>0</v>
      </c>
    </row>
    <row r="623" spans="1:10" x14ac:dyDescent="0.3">
      <c r="A623">
        <v>28</v>
      </c>
      <c r="B623">
        <v>650000</v>
      </c>
      <c r="C623">
        <v>4</v>
      </c>
      <c r="D623">
        <v>0</v>
      </c>
      <c r="E623">
        <v>1</v>
      </c>
      <c r="F623">
        <v>0</v>
      </c>
      <c r="G623">
        <v>0</v>
      </c>
      <c r="H623">
        <v>0</v>
      </c>
      <c r="I623">
        <v>0</v>
      </c>
      <c r="J623" t="s">
        <v>0</v>
      </c>
    </row>
    <row r="624" spans="1:10" x14ac:dyDescent="0.3">
      <c r="A624">
        <v>32</v>
      </c>
      <c r="B624">
        <v>800000</v>
      </c>
      <c r="C624">
        <v>5</v>
      </c>
      <c r="D624">
        <v>1</v>
      </c>
      <c r="E624">
        <v>1</v>
      </c>
      <c r="F624">
        <v>0</v>
      </c>
      <c r="G624">
        <v>1</v>
      </c>
      <c r="H624">
        <v>0</v>
      </c>
      <c r="I624">
        <v>0</v>
      </c>
      <c r="J624" t="s">
        <v>0</v>
      </c>
    </row>
    <row r="625" spans="1:10" x14ac:dyDescent="0.3">
      <c r="A625">
        <v>28</v>
      </c>
      <c r="B625">
        <v>1100000</v>
      </c>
      <c r="C625">
        <v>3</v>
      </c>
      <c r="D625">
        <v>0</v>
      </c>
      <c r="E625">
        <v>1</v>
      </c>
      <c r="F625">
        <v>0</v>
      </c>
      <c r="G625">
        <v>0</v>
      </c>
      <c r="H625">
        <v>0</v>
      </c>
      <c r="I625">
        <v>0</v>
      </c>
      <c r="J625" t="s">
        <v>0</v>
      </c>
    </row>
    <row r="626" spans="1:10" x14ac:dyDescent="0.3">
      <c r="A626">
        <v>34</v>
      </c>
      <c r="B626">
        <v>1000000</v>
      </c>
      <c r="C626">
        <v>9</v>
      </c>
      <c r="D626">
        <v>0</v>
      </c>
      <c r="E626">
        <v>1</v>
      </c>
      <c r="F626">
        <v>0</v>
      </c>
      <c r="G626">
        <v>0</v>
      </c>
      <c r="H626">
        <v>0</v>
      </c>
      <c r="I626">
        <v>0</v>
      </c>
      <c r="J626" t="s">
        <v>0</v>
      </c>
    </row>
    <row r="627" spans="1:10" x14ac:dyDescent="0.3">
      <c r="A627">
        <v>31</v>
      </c>
      <c r="B627">
        <v>1750000</v>
      </c>
      <c r="C627">
        <v>4</v>
      </c>
      <c r="D627">
        <v>0</v>
      </c>
      <c r="E627">
        <v>1</v>
      </c>
      <c r="F627">
        <v>0</v>
      </c>
      <c r="G627">
        <v>0</v>
      </c>
      <c r="H627">
        <v>0</v>
      </c>
      <c r="I627">
        <v>0</v>
      </c>
      <c r="J627" t="s">
        <v>0</v>
      </c>
    </row>
    <row r="628" spans="1:10" x14ac:dyDescent="0.3">
      <c r="A628">
        <v>28</v>
      </c>
      <c r="B628">
        <v>1100000</v>
      </c>
      <c r="C628">
        <v>6</v>
      </c>
      <c r="D628">
        <v>0</v>
      </c>
      <c r="E628">
        <v>1</v>
      </c>
      <c r="F628">
        <v>0</v>
      </c>
      <c r="G628">
        <v>1</v>
      </c>
      <c r="H628">
        <v>0</v>
      </c>
      <c r="I628">
        <v>0</v>
      </c>
      <c r="J628" t="s">
        <v>0</v>
      </c>
    </row>
    <row r="629" spans="1:10" x14ac:dyDescent="0.3">
      <c r="A629">
        <v>27</v>
      </c>
      <c r="B629">
        <v>500000</v>
      </c>
      <c r="C629">
        <v>6</v>
      </c>
      <c r="D629">
        <v>1</v>
      </c>
      <c r="E629">
        <v>1</v>
      </c>
      <c r="F629">
        <v>0</v>
      </c>
      <c r="G629">
        <v>0</v>
      </c>
      <c r="H629">
        <v>0</v>
      </c>
      <c r="I629">
        <v>0</v>
      </c>
      <c r="J629" t="s">
        <v>0</v>
      </c>
    </row>
    <row r="630" spans="1:10" x14ac:dyDescent="0.3">
      <c r="A630">
        <v>28</v>
      </c>
      <c r="B630">
        <v>1150000</v>
      </c>
      <c r="C630">
        <v>9</v>
      </c>
      <c r="D630">
        <v>0</v>
      </c>
      <c r="E630">
        <v>1</v>
      </c>
      <c r="F630">
        <v>0</v>
      </c>
      <c r="G630">
        <v>0</v>
      </c>
      <c r="H630">
        <v>0</v>
      </c>
      <c r="I630">
        <v>0</v>
      </c>
      <c r="J630" t="s">
        <v>0</v>
      </c>
    </row>
    <row r="631" spans="1:10" x14ac:dyDescent="0.3">
      <c r="A631">
        <v>25</v>
      </c>
      <c r="B631">
        <v>600000</v>
      </c>
      <c r="C631">
        <v>4</v>
      </c>
      <c r="D631">
        <v>0</v>
      </c>
      <c r="E631">
        <v>0</v>
      </c>
      <c r="F631">
        <v>0</v>
      </c>
      <c r="G631">
        <v>1</v>
      </c>
      <c r="H631">
        <v>0</v>
      </c>
      <c r="I631">
        <v>0</v>
      </c>
      <c r="J631" t="s">
        <v>0</v>
      </c>
    </row>
    <row r="632" spans="1:10" x14ac:dyDescent="0.3">
      <c r="A632">
        <v>28</v>
      </c>
      <c r="B632">
        <v>1100000</v>
      </c>
      <c r="C632">
        <v>9</v>
      </c>
      <c r="D632">
        <v>0</v>
      </c>
      <c r="E632">
        <v>1</v>
      </c>
      <c r="F632">
        <v>0</v>
      </c>
      <c r="G632">
        <v>0</v>
      </c>
      <c r="H632">
        <v>0</v>
      </c>
      <c r="I632">
        <v>0</v>
      </c>
      <c r="J632" t="s">
        <v>0</v>
      </c>
    </row>
    <row r="633" spans="1:10" hidden="1" x14ac:dyDescent="0.3">
      <c r="A633">
        <v>33</v>
      </c>
      <c r="B633">
        <v>1400000</v>
      </c>
      <c r="C633">
        <v>6</v>
      </c>
      <c r="D633">
        <v>0</v>
      </c>
      <c r="E633">
        <v>1</v>
      </c>
      <c r="F633">
        <v>1</v>
      </c>
      <c r="G633">
        <v>0</v>
      </c>
      <c r="H633">
        <v>1</v>
      </c>
      <c r="I633">
        <v>1</v>
      </c>
      <c r="J633" t="s">
        <v>0</v>
      </c>
    </row>
    <row r="634" spans="1:10" x14ac:dyDescent="0.3">
      <c r="A634">
        <v>34</v>
      </c>
      <c r="B634">
        <v>700000</v>
      </c>
      <c r="C634">
        <v>3</v>
      </c>
      <c r="D634">
        <v>0</v>
      </c>
      <c r="E634">
        <v>1</v>
      </c>
      <c r="F634">
        <v>0</v>
      </c>
      <c r="G634">
        <v>0</v>
      </c>
      <c r="H634">
        <v>0</v>
      </c>
      <c r="I634">
        <v>0</v>
      </c>
      <c r="J634" t="s">
        <v>0</v>
      </c>
    </row>
    <row r="635" spans="1:10" x14ac:dyDescent="0.3">
      <c r="A635">
        <v>28</v>
      </c>
      <c r="B635">
        <v>700000</v>
      </c>
      <c r="C635">
        <v>7</v>
      </c>
      <c r="D635">
        <v>0</v>
      </c>
      <c r="E635">
        <v>1</v>
      </c>
      <c r="F635">
        <v>1</v>
      </c>
      <c r="G635">
        <v>0</v>
      </c>
      <c r="H635">
        <v>0</v>
      </c>
      <c r="I635">
        <v>0</v>
      </c>
      <c r="J635" t="s">
        <v>0</v>
      </c>
    </row>
    <row r="636" spans="1:10" x14ac:dyDescent="0.3">
      <c r="A636">
        <v>34</v>
      </c>
      <c r="B636">
        <v>1300000</v>
      </c>
      <c r="C636">
        <v>4</v>
      </c>
      <c r="D636">
        <v>0</v>
      </c>
      <c r="E636">
        <v>0</v>
      </c>
      <c r="F636">
        <v>0</v>
      </c>
      <c r="G636">
        <v>0</v>
      </c>
      <c r="H636">
        <v>0</v>
      </c>
      <c r="I636">
        <v>0</v>
      </c>
      <c r="J636" t="s">
        <v>0</v>
      </c>
    </row>
    <row r="637" spans="1:10" x14ac:dyDescent="0.3">
      <c r="A637">
        <v>28</v>
      </c>
      <c r="B637">
        <v>550000</v>
      </c>
      <c r="C637">
        <v>4</v>
      </c>
      <c r="D637">
        <v>0</v>
      </c>
      <c r="E637">
        <v>0</v>
      </c>
      <c r="F637">
        <v>0</v>
      </c>
      <c r="G637">
        <v>0</v>
      </c>
      <c r="H637">
        <v>0</v>
      </c>
      <c r="I637">
        <v>0</v>
      </c>
      <c r="J637" t="s">
        <v>0</v>
      </c>
    </row>
    <row r="638" spans="1:10" hidden="1" x14ac:dyDescent="0.3">
      <c r="A638">
        <v>25</v>
      </c>
      <c r="B638">
        <v>1400000</v>
      </c>
      <c r="C638">
        <v>4</v>
      </c>
      <c r="D638">
        <v>0</v>
      </c>
      <c r="E638">
        <v>1</v>
      </c>
      <c r="F638">
        <v>0</v>
      </c>
      <c r="G638">
        <v>0</v>
      </c>
      <c r="H638">
        <v>1</v>
      </c>
      <c r="I638">
        <v>1</v>
      </c>
      <c r="J638" t="s">
        <v>0</v>
      </c>
    </row>
    <row r="639" spans="1:10" x14ac:dyDescent="0.3">
      <c r="A639">
        <v>34</v>
      </c>
      <c r="B639">
        <v>1300000</v>
      </c>
      <c r="C639">
        <v>5</v>
      </c>
      <c r="D639">
        <v>0</v>
      </c>
      <c r="E639">
        <v>1</v>
      </c>
      <c r="F639">
        <v>1</v>
      </c>
      <c r="G639">
        <v>0</v>
      </c>
      <c r="H639">
        <v>0</v>
      </c>
      <c r="I639">
        <v>0</v>
      </c>
      <c r="J639" t="s">
        <v>0</v>
      </c>
    </row>
    <row r="640" spans="1:10" hidden="1" x14ac:dyDescent="0.3">
      <c r="A640">
        <v>26</v>
      </c>
      <c r="B640">
        <v>1450000</v>
      </c>
      <c r="C640">
        <v>3</v>
      </c>
      <c r="D640">
        <v>1</v>
      </c>
      <c r="E640">
        <v>1</v>
      </c>
      <c r="F640">
        <v>0</v>
      </c>
      <c r="G640">
        <v>1</v>
      </c>
      <c r="H640">
        <v>1</v>
      </c>
      <c r="I640">
        <v>1</v>
      </c>
      <c r="J640" t="s">
        <v>0</v>
      </c>
    </row>
    <row r="641" spans="1:10" x14ac:dyDescent="0.3">
      <c r="A641">
        <v>31</v>
      </c>
      <c r="B641">
        <v>1250000</v>
      </c>
      <c r="C641">
        <v>5</v>
      </c>
      <c r="D641">
        <v>0</v>
      </c>
      <c r="E641">
        <v>1</v>
      </c>
      <c r="F641">
        <v>1</v>
      </c>
      <c r="G641">
        <v>1</v>
      </c>
      <c r="H641">
        <v>0</v>
      </c>
      <c r="I641">
        <v>0</v>
      </c>
      <c r="J641" t="s">
        <v>0</v>
      </c>
    </row>
    <row r="642" spans="1:10" x14ac:dyDescent="0.3">
      <c r="A642">
        <v>27</v>
      </c>
      <c r="B642">
        <v>800000</v>
      </c>
      <c r="C642">
        <v>5</v>
      </c>
      <c r="D642">
        <v>0</v>
      </c>
      <c r="E642">
        <v>0</v>
      </c>
      <c r="F642">
        <v>0</v>
      </c>
      <c r="G642">
        <v>0</v>
      </c>
      <c r="H642">
        <v>0</v>
      </c>
      <c r="I642">
        <v>0</v>
      </c>
      <c r="J642" t="s">
        <v>0</v>
      </c>
    </row>
    <row r="643" spans="1:10" x14ac:dyDescent="0.3">
      <c r="A643">
        <v>34</v>
      </c>
      <c r="B643">
        <v>700000</v>
      </c>
      <c r="C643">
        <v>5</v>
      </c>
      <c r="D643">
        <v>0</v>
      </c>
      <c r="E643">
        <v>1</v>
      </c>
      <c r="F643">
        <v>1</v>
      </c>
      <c r="G643">
        <v>0</v>
      </c>
      <c r="H643">
        <v>1</v>
      </c>
      <c r="I643">
        <v>0</v>
      </c>
      <c r="J643" t="s">
        <v>0</v>
      </c>
    </row>
    <row r="644" spans="1:10" x14ac:dyDescent="0.3">
      <c r="A644">
        <v>26</v>
      </c>
      <c r="B644">
        <v>500000</v>
      </c>
      <c r="C644">
        <v>6</v>
      </c>
      <c r="D644">
        <v>1</v>
      </c>
      <c r="E644">
        <v>1</v>
      </c>
      <c r="F644">
        <v>1</v>
      </c>
      <c r="G644">
        <v>0</v>
      </c>
      <c r="H644">
        <v>0</v>
      </c>
      <c r="I644">
        <v>0</v>
      </c>
      <c r="J644" t="s">
        <v>0</v>
      </c>
    </row>
    <row r="645" spans="1:10" x14ac:dyDescent="0.3">
      <c r="A645">
        <v>28</v>
      </c>
      <c r="B645">
        <v>1100000</v>
      </c>
      <c r="C645">
        <v>5</v>
      </c>
      <c r="D645">
        <v>0</v>
      </c>
      <c r="E645">
        <v>1</v>
      </c>
      <c r="F645">
        <v>1</v>
      </c>
      <c r="G645">
        <v>0</v>
      </c>
      <c r="H645">
        <v>0</v>
      </c>
      <c r="I645">
        <v>0</v>
      </c>
      <c r="J645" t="s">
        <v>0</v>
      </c>
    </row>
    <row r="646" spans="1:10" x14ac:dyDescent="0.3">
      <c r="A646">
        <v>32</v>
      </c>
      <c r="B646">
        <v>800000</v>
      </c>
      <c r="C646">
        <v>4</v>
      </c>
      <c r="D646">
        <v>1</v>
      </c>
      <c r="E646">
        <v>1</v>
      </c>
      <c r="F646">
        <v>0</v>
      </c>
      <c r="G646">
        <v>0</v>
      </c>
      <c r="H646">
        <v>0</v>
      </c>
      <c r="I646">
        <v>0</v>
      </c>
      <c r="J646" t="s">
        <v>0</v>
      </c>
    </row>
    <row r="647" spans="1:10" x14ac:dyDescent="0.3">
      <c r="A647">
        <v>28</v>
      </c>
      <c r="B647">
        <v>1100000</v>
      </c>
      <c r="C647">
        <v>4</v>
      </c>
      <c r="D647">
        <v>0</v>
      </c>
      <c r="E647">
        <v>1</v>
      </c>
      <c r="F647">
        <v>0</v>
      </c>
      <c r="G647">
        <v>0</v>
      </c>
      <c r="H647">
        <v>0</v>
      </c>
      <c r="I647">
        <v>0</v>
      </c>
      <c r="J647" t="s">
        <v>0</v>
      </c>
    </row>
    <row r="648" spans="1:10" x14ac:dyDescent="0.3">
      <c r="A648">
        <v>28</v>
      </c>
      <c r="B648">
        <v>1100000</v>
      </c>
      <c r="C648">
        <v>6</v>
      </c>
      <c r="D648">
        <v>0</v>
      </c>
      <c r="E648">
        <v>1</v>
      </c>
      <c r="F648">
        <v>0</v>
      </c>
      <c r="G648">
        <v>0</v>
      </c>
      <c r="H648">
        <v>0</v>
      </c>
      <c r="I648">
        <v>0</v>
      </c>
      <c r="J648" t="s">
        <v>0</v>
      </c>
    </row>
    <row r="649" spans="1:10" hidden="1" x14ac:dyDescent="0.3">
      <c r="A649">
        <v>34</v>
      </c>
      <c r="B649">
        <v>1300000</v>
      </c>
      <c r="C649">
        <v>5</v>
      </c>
      <c r="D649">
        <v>0</v>
      </c>
      <c r="E649">
        <v>0</v>
      </c>
      <c r="F649">
        <v>0</v>
      </c>
      <c r="G649">
        <v>1</v>
      </c>
      <c r="H649">
        <v>0</v>
      </c>
      <c r="I649">
        <v>1</v>
      </c>
      <c r="J649" t="s">
        <v>0</v>
      </c>
    </row>
    <row r="650" spans="1:10" x14ac:dyDescent="0.3">
      <c r="A650">
        <v>28</v>
      </c>
      <c r="B650">
        <v>800000</v>
      </c>
      <c r="C650">
        <v>4</v>
      </c>
      <c r="D650">
        <v>0</v>
      </c>
      <c r="E650">
        <v>1</v>
      </c>
      <c r="F650">
        <v>0</v>
      </c>
      <c r="G650">
        <v>0</v>
      </c>
      <c r="H650">
        <v>0</v>
      </c>
      <c r="I650">
        <v>0</v>
      </c>
      <c r="J650" t="s">
        <v>0</v>
      </c>
    </row>
    <row r="651" spans="1:10" x14ac:dyDescent="0.3">
      <c r="A651">
        <v>28</v>
      </c>
      <c r="B651">
        <v>300000</v>
      </c>
      <c r="C651">
        <v>5</v>
      </c>
      <c r="D651">
        <v>1</v>
      </c>
      <c r="E651">
        <v>1</v>
      </c>
      <c r="F651">
        <v>0</v>
      </c>
      <c r="G651">
        <v>0</v>
      </c>
      <c r="H651">
        <v>0</v>
      </c>
      <c r="I651">
        <v>0</v>
      </c>
      <c r="J651" t="s">
        <v>0</v>
      </c>
    </row>
    <row r="652" spans="1:10" hidden="1" x14ac:dyDescent="0.3">
      <c r="A652">
        <v>26</v>
      </c>
      <c r="B652">
        <v>1400000</v>
      </c>
      <c r="C652">
        <v>4</v>
      </c>
      <c r="D652">
        <v>0</v>
      </c>
      <c r="E652">
        <v>1</v>
      </c>
      <c r="F652">
        <v>0</v>
      </c>
      <c r="G652">
        <v>1</v>
      </c>
      <c r="H652">
        <v>1</v>
      </c>
      <c r="I652">
        <v>1</v>
      </c>
      <c r="J652" t="s">
        <v>0</v>
      </c>
    </row>
    <row r="653" spans="1:10" hidden="1" x14ac:dyDescent="0.3">
      <c r="A653">
        <v>33</v>
      </c>
      <c r="B653">
        <v>1400000</v>
      </c>
      <c r="C653">
        <v>8</v>
      </c>
      <c r="D653">
        <v>0</v>
      </c>
      <c r="E653">
        <v>1</v>
      </c>
      <c r="F653">
        <v>1</v>
      </c>
      <c r="G653">
        <v>0</v>
      </c>
      <c r="H653">
        <v>1</v>
      </c>
      <c r="I653">
        <v>1</v>
      </c>
      <c r="J653" t="s">
        <v>0</v>
      </c>
    </row>
    <row r="654" spans="1:10" hidden="1" x14ac:dyDescent="0.3">
      <c r="A654">
        <v>33</v>
      </c>
      <c r="B654">
        <v>800000</v>
      </c>
      <c r="C654">
        <v>6</v>
      </c>
      <c r="D654">
        <v>1</v>
      </c>
      <c r="E654">
        <v>1</v>
      </c>
      <c r="F654">
        <v>0</v>
      </c>
      <c r="G654">
        <v>0</v>
      </c>
      <c r="H654">
        <v>0</v>
      </c>
      <c r="I654">
        <v>1</v>
      </c>
      <c r="J654" t="s">
        <v>0</v>
      </c>
    </row>
    <row r="655" spans="1:10" x14ac:dyDescent="0.3">
      <c r="A655">
        <v>27</v>
      </c>
      <c r="B655">
        <v>500000</v>
      </c>
      <c r="C655">
        <v>7</v>
      </c>
      <c r="D655">
        <v>1</v>
      </c>
      <c r="E655">
        <v>1</v>
      </c>
      <c r="F655">
        <v>0</v>
      </c>
      <c r="G655">
        <v>0</v>
      </c>
      <c r="H655">
        <v>0</v>
      </c>
      <c r="I655">
        <v>0</v>
      </c>
      <c r="J655" t="s">
        <v>0</v>
      </c>
    </row>
    <row r="656" spans="1:10" x14ac:dyDescent="0.3">
      <c r="A656">
        <v>32</v>
      </c>
      <c r="B656">
        <v>1750000</v>
      </c>
      <c r="C656">
        <v>6</v>
      </c>
      <c r="D656">
        <v>1</v>
      </c>
      <c r="E656">
        <v>1</v>
      </c>
      <c r="F656">
        <v>0</v>
      </c>
      <c r="G656">
        <v>0</v>
      </c>
      <c r="H656">
        <v>0</v>
      </c>
      <c r="I656">
        <v>0</v>
      </c>
      <c r="J656" t="s">
        <v>0</v>
      </c>
    </row>
    <row r="657" spans="1:10" x14ac:dyDescent="0.3">
      <c r="A657">
        <v>28</v>
      </c>
      <c r="B657">
        <v>700000</v>
      </c>
      <c r="C657">
        <v>4</v>
      </c>
      <c r="D657">
        <v>0</v>
      </c>
      <c r="E657">
        <v>1</v>
      </c>
      <c r="F657">
        <v>0</v>
      </c>
      <c r="G657">
        <v>0</v>
      </c>
      <c r="H657">
        <v>0</v>
      </c>
      <c r="I657">
        <v>0</v>
      </c>
      <c r="J657" t="s">
        <v>0</v>
      </c>
    </row>
    <row r="658" spans="1:10" x14ac:dyDescent="0.3">
      <c r="A658">
        <v>31</v>
      </c>
      <c r="B658">
        <v>500000</v>
      </c>
      <c r="C658">
        <v>6</v>
      </c>
      <c r="D658">
        <v>0</v>
      </c>
      <c r="E658">
        <v>1</v>
      </c>
      <c r="F658">
        <v>1</v>
      </c>
      <c r="G658">
        <v>0</v>
      </c>
      <c r="H658">
        <v>0</v>
      </c>
      <c r="I658">
        <v>0</v>
      </c>
      <c r="J658" t="s">
        <v>0</v>
      </c>
    </row>
    <row r="659" spans="1:10" hidden="1" x14ac:dyDescent="0.3">
      <c r="A659">
        <v>28</v>
      </c>
      <c r="B659">
        <v>1200000</v>
      </c>
      <c r="C659">
        <v>5</v>
      </c>
      <c r="D659">
        <v>0</v>
      </c>
      <c r="E659">
        <v>1</v>
      </c>
      <c r="F659">
        <v>0</v>
      </c>
      <c r="G659">
        <v>0</v>
      </c>
      <c r="H659">
        <v>0</v>
      </c>
      <c r="I659">
        <v>1</v>
      </c>
      <c r="J659" t="s">
        <v>0</v>
      </c>
    </row>
    <row r="660" spans="1:10" hidden="1" x14ac:dyDescent="0.3">
      <c r="A660">
        <v>30</v>
      </c>
      <c r="B660">
        <v>1450000</v>
      </c>
      <c r="C660">
        <v>6</v>
      </c>
      <c r="D660">
        <v>0</v>
      </c>
      <c r="E660">
        <v>0</v>
      </c>
      <c r="F660">
        <v>0</v>
      </c>
      <c r="G660">
        <v>1</v>
      </c>
      <c r="H660">
        <v>1</v>
      </c>
      <c r="I660">
        <v>1</v>
      </c>
      <c r="J660" t="s">
        <v>0</v>
      </c>
    </row>
    <row r="661" spans="1:10" x14ac:dyDescent="0.3">
      <c r="A661">
        <v>34</v>
      </c>
      <c r="B661">
        <v>500000</v>
      </c>
      <c r="C661">
        <v>3</v>
      </c>
      <c r="D661">
        <v>0</v>
      </c>
      <c r="E661">
        <v>1</v>
      </c>
      <c r="F661">
        <v>0</v>
      </c>
      <c r="G661">
        <v>0</v>
      </c>
      <c r="H661">
        <v>0</v>
      </c>
      <c r="I661">
        <v>0</v>
      </c>
      <c r="J661" t="s">
        <v>0</v>
      </c>
    </row>
    <row r="662" spans="1:10" x14ac:dyDescent="0.3">
      <c r="A662">
        <v>28</v>
      </c>
      <c r="B662">
        <v>300000</v>
      </c>
      <c r="C662">
        <v>4</v>
      </c>
      <c r="D662">
        <v>1</v>
      </c>
      <c r="E662">
        <v>1</v>
      </c>
      <c r="F662">
        <v>0</v>
      </c>
      <c r="G662">
        <v>0</v>
      </c>
      <c r="H662">
        <v>0</v>
      </c>
      <c r="I662">
        <v>0</v>
      </c>
      <c r="J662" t="s">
        <v>0</v>
      </c>
    </row>
    <row r="663" spans="1:10" x14ac:dyDescent="0.3">
      <c r="A663">
        <v>28</v>
      </c>
      <c r="B663">
        <v>300000</v>
      </c>
      <c r="C663">
        <v>5</v>
      </c>
      <c r="D663">
        <v>1</v>
      </c>
      <c r="E663">
        <v>0</v>
      </c>
      <c r="F663">
        <v>0</v>
      </c>
      <c r="G663">
        <v>0</v>
      </c>
      <c r="H663">
        <v>0</v>
      </c>
      <c r="I663">
        <v>0</v>
      </c>
      <c r="J663" t="s">
        <v>0</v>
      </c>
    </row>
    <row r="664" spans="1:10" x14ac:dyDescent="0.3">
      <c r="A664">
        <v>26</v>
      </c>
      <c r="B664">
        <v>500000</v>
      </c>
      <c r="C664">
        <v>6</v>
      </c>
      <c r="D664">
        <v>0</v>
      </c>
      <c r="E664">
        <v>1</v>
      </c>
      <c r="F664">
        <v>0</v>
      </c>
      <c r="G664">
        <v>0</v>
      </c>
      <c r="H664">
        <v>0</v>
      </c>
      <c r="I664">
        <v>0</v>
      </c>
      <c r="J664" t="s">
        <v>0</v>
      </c>
    </row>
    <row r="665" spans="1:10" hidden="1" x14ac:dyDescent="0.3">
      <c r="A665">
        <v>32</v>
      </c>
      <c r="B665">
        <v>800000</v>
      </c>
      <c r="C665">
        <v>6</v>
      </c>
      <c r="D665">
        <v>1</v>
      </c>
      <c r="E665">
        <v>1</v>
      </c>
      <c r="F665">
        <v>1</v>
      </c>
      <c r="G665">
        <v>0</v>
      </c>
      <c r="H665">
        <v>0</v>
      </c>
      <c r="I665">
        <v>1</v>
      </c>
      <c r="J665" t="s">
        <v>0</v>
      </c>
    </row>
    <row r="666" spans="1:10" hidden="1" x14ac:dyDescent="0.3">
      <c r="A666">
        <v>34</v>
      </c>
      <c r="B666">
        <v>1500000</v>
      </c>
      <c r="C666">
        <v>4</v>
      </c>
      <c r="D666">
        <v>0</v>
      </c>
      <c r="E666">
        <v>1</v>
      </c>
      <c r="F666">
        <v>0</v>
      </c>
      <c r="G666">
        <v>1</v>
      </c>
      <c r="H666">
        <v>1</v>
      </c>
      <c r="I666">
        <v>1</v>
      </c>
      <c r="J666" t="s">
        <v>0</v>
      </c>
    </row>
    <row r="667" spans="1:10" x14ac:dyDescent="0.3">
      <c r="A667">
        <v>28</v>
      </c>
      <c r="B667">
        <v>1250000</v>
      </c>
      <c r="C667">
        <v>6</v>
      </c>
      <c r="D667">
        <v>0</v>
      </c>
      <c r="E667">
        <v>1</v>
      </c>
      <c r="F667">
        <v>0</v>
      </c>
      <c r="G667">
        <v>1</v>
      </c>
      <c r="H667">
        <v>0</v>
      </c>
      <c r="I667">
        <v>0</v>
      </c>
      <c r="J667" t="s">
        <v>0</v>
      </c>
    </row>
    <row r="668" spans="1:10" x14ac:dyDescent="0.3">
      <c r="A668">
        <v>28</v>
      </c>
      <c r="B668">
        <v>800000</v>
      </c>
      <c r="C668">
        <v>5</v>
      </c>
      <c r="D668">
        <v>0</v>
      </c>
      <c r="E668">
        <v>1</v>
      </c>
      <c r="F668">
        <v>0</v>
      </c>
      <c r="G668">
        <v>0</v>
      </c>
      <c r="H668">
        <v>0</v>
      </c>
      <c r="I668">
        <v>0</v>
      </c>
      <c r="J668" t="s">
        <v>0</v>
      </c>
    </row>
    <row r="669" spans="1:10" x14ac:dyDescent="0.3">
      <c r="A669">
        <v>26</v>
      </c>
      <c r="B669">
        <v>1300000</v>
      </c>
      <c r="C669">
        <v>4</v>
      </c>
      <c r="D669">
        <v>0</v>
      </c>
      <c r="E669">
        <v>1</v>
      </c>
      <c r="F669">
        <v>1</v>
      </c>
      <c r="G669">
        <v>0</v>
      </c>
      <c r="H669">
        <v>1</v>
      </c>
      <c r="I669">
        <v>0</v>
      </c>
      <c r="J669" t="s">
        <v>0</v>
      </c>
    </row>
    <row r="670" spans="1:10" x14ac:dyDescent="0.3">
      <c r="A670">
        <v>33</v>
      </c>
      <c r="B670">
        <v>1000000</v>
      </c>
      <c r="C670">
        <v>5</v>
      </c>
      <c r="D670">
        <v>1</v>
      </c>
      <c r="E670">
        <v>1</v>
      </c>
      <c r="F670">
        <v>0</v>
      </c>
      <c r="G670">
        <v>1</v>
      </c>
      <c r="H670">
        <v>0</v>
      </c>
      <c r="I670">
        <v>0</v>
      </c>
      <c r="J670" t="s">
        <v>0</v>
      </c>
    </row>
    <row r="671" spans="1:10" x14ac:dyDescent="0.3">
      <c r="A671">
        <v>26</v>
      </c>
      <c r="B671">
        <v>600000</v>
      </c>
      <c r="C671">
        <v>3</v>
      </c>
      <c r="D671">
        <v>0</v>
      </c>
      <c r="E671">
        <v>1</v>
      </c>
      <c r="F671">
        <v>0</v>
      </c>
      <c r="G671">
        <v>1</v>
      </c>
      <c r="H671">
        <v>0</v>
      </c>
      <c r="I671">
        <v>0</v>
      </c>
      <c r="J671" t="s">
        <v>0</v>
      </c>
    </row>
    <row r="672" spans="1:10" x14ac:dyDescent="0.3">
      <c r="A672">
        <v>28</v>
      </c>
      <c r="B672">
        <v>800000</v>
      </c>
      <c r="C672">
        <v>4</v>
      </c>
      <c r="D672">
        <v>0</v>
      </c>
      <c r="E672">
        <v>1</v>
      </c>
      <c r="F672">
        <v>1</v>
      </c>
      <c r="G672">
        <v>0</v>
      </c>
      <c r="H672">
        <v>0</v>
      </c>
      <c r="I672">
        <v>0</v>
      </c>
      <c r="J672" t="s">
        <v>0</v>
      </c>
    </row>
    <row r="673" spans="1:10" x14ac:dyDescent="0.3">
      <c r="A673">
        <v>29</v>
      </c>
      <c r="B673">
        <v>1100000</v>
      </c>
      <c r="C673">
        <v>3</v>
      </c>
      <c r="D673">
        <v>0</v>
      </c>
      <c r="E673">
        <v>1</v>
      </c>
      <c r="F673">
        <v>1</v>
      </c>
      <c r="G673">
        <v>0</v>
      </c>
      <c r="H673">
        <v>0</v>
      </c>
      <c r="I673">
        <v>0</v>
      </c>
      <c r="J673" t="s">
        <v>0</v>
      </c>
    </row>
    <row r="674" spans="1:10" x14ac:dyDescent="0.3">
      <c r="A674">
        <v>27</v>
      </c>
      <c r="B674">
        <v>1050000</v>
      </c>
      <c r="C674">
        <v>2</v>
      </c>
      <c r="D674">
        <v>1</v>
      </c>
      <c r="E674">
        <v>1</v>
      </c>
      <c r="F674">
        <v>1</v>
      </c>
      <c r="G674">
        <v>0</v>
      </c>
      <c r="H674">
        <v>0</v>
      </c>
      <c r="I674">
        <v>0</v>
      </c>
      <c r="J674" t="s">
        <v>0</v>
      </c>
    </row>
    <row r="675" spans="1:10" hidden="1" x14ac:dyDescent="0.3">
      <c r="A675">
        <v>30</v>
      </c>
      <c r="B675">
        <v>750000</v>
      </c>
      <c r="C675">
        <v>3</v>
      </c>
      <c r="D675">
        <v>0</v>
      </c>
      <c r="E675">
        <v>0</v>
      </c>
      <c r="F675">
        <v>1</v>
      </c>
      <c r="G675">
        <v>0</v>
      </c>
      <c r="H675">
        <v>0</v>
      </c>
      <c r="I675">
        <v>1</v>
      </c>
      <c r="J675" t="s">
        <v>0</v>
      </c>
    </row>
    <row r="676" spans="1:10" x14ac:dyDescent="0.3">
      <c r="A676">
        <v>27</v>
      </c>
      <c r="B676">
        <v>850000</v>
      </c>
      <c r="C676">
        <v>2</v>
      </c>
      <c r="D676">
        <v>1</v>
      </c>
      <c r="E676">
        <v>1</v>
      </c>
      <c r="F676">
        <v>0</v>
      </c>
      <c r="G676">
        <v>0</v>
      </c>
      <c r="H676">
        <v>0</v>
      </c>
      <c r="I676">
        <v>0</v>
      </c>
      <c r="J676" t="s">
        <v>0</v>
      </c>
    </row>
    <row r="677" spans="1:10" x14ac:dyDescent="0.3">
      <c r="A677">
        <v>27</v>
      </c>
      <c r="B677">
        <v>350000</v>
      </c>
      <c r="C677">
        <v>3</v>
      </c>
      <c r="D677">
        <v>0</v>
      </c>
      <c r="E677">
        <v>0</v>
      </c>
      <c r="F677">
        <v>0</v>
      </c>
      <c r="G677">
        <v>0</v>
      </c>
      <c r="H677">
        <v>0</v>
      </c>
      <c r="I677">
        <v>0</v>
      </c>
      <c r="J677" t="s">
        <v>0</v>
      </c>
    </row>
    <row r="678" spans="1:10" x14ac:dyDescent="0.3">
      <c r="A678">
        <v>29</v>
      </c>
      <c r="B678">
        <v>1200000</v>
      </c>
      <c r="C678">
        <v>7</v>
      </c>
      <c r="D678">
        <v>0</v>
      </c>
      <c r="E678">
        <v>1</v>
      </c>
      <c r="F678">
        <v>1</v>
      </c>
      <c r="G678">
        <v>0</v>
      </c>
      <c r="H678">
        <v>0</v>
      </c>
      <c r="I678">
        <v>0</v>
      </c>
      <c r="J678" t="s">
        <v>0</v>
      </c>
    </row>
    <row r="679" spans="1:10" x14ac:dyDescent="0.3">
      <c r="A679">
        <v>27</v>
      </c>
      <c r="B679">
        <v>450000</v>
      </c>
      <c r="C679">
        <v>7</v>
      </c>
      <c r="D679">
        <v>0</v>
      </c>
      <c r="E679">
        <v>0</v>
      </c>
      <c r="F679">
        <v>0</v>
      </c>
      <c r="G679">
        <v>0</v>
      </c>
      <c r="H679">
        <v>0</v>
      </c>
      <c r="I679">
        <v>0</v>
      </c>
      <c r="J679" t="s">
        <v>0</v>
      </c>
    </row>
    <row r="680" spans="1:10" hidden="1" x14ac:dyDescent="0.3">
      <c r="A680">
        <v>25</v>
      </c>
      <c r="B680">
        <v>1700000</v>
      </c>
      <c r="C680">
        <v>4</v>
      </c>
      <c r="D680">
        <v>0</v>
      </c>
      <c r="E680">
        <v>1</v>
      </c>
      <c r="F680">
        <v>0</v>
      </c>
      <c r="G680">
        <v>1</v>
      </c>
      <c r="H680">
        <v>0</v>
      </c>
      <c r="I680">
        <v>1</v>
      </c>
      <c r="J680" t="s">
        <v>0</v>
      </c>
    </row>
    <row r="681" spans="1:10" x14ac:dyDescent="0.3">
      <c r="A681">
        <v>26</v>
      </c>
      <c r="B681">
        <v>500000</v>
      </c>
      <c r="C681">
        <v>5</v>
      </c>
      <c r="D681">
        <v>1</v>
      </c>
      <c r="E681">
        <v>1</v>
      </c>
      <c r="F681">
        <v>0</v>
      </c>
      <c r="G681">
        <v>0</v>
      </c>
      <c r="H681">
        <v>0</v>
      </c>
      <c r="I681">
        <v>0</v>
      </c>
      <c r="J681" t="s">
        <v>0</v>
      </c>
    </row>
    <row r="682" spans="1:10" hidden="1" x14ac:dyDescent="0.3">
      <c r="A682">
        <v>29</v>
      </c>
      <c r="B682">
        <v>1100000</v>
      </c>
      <c r="C682">
        <v>4</v>
      </c>
      <c r="D682">
        <v>0</v>
      </c>
      <c r="E682">
        <v>1</v>
      </c>
      <c r="F682">
        <v>1</v>
      </c>
      <c r="G682">
        <v>0</v>
      </c>
      <c r="H682">
        <v>1</v>
      </c>
      <c r="I682">
        <v>1</v>
      </c>
      <c r="J682" t="s">
        <v>0</v>
      </c>
    </row>
    <row r="683" spans="1:10" x14ac:dyDescent="0.3">
      <c r="A683">
        <v>28</v>
      </c>
      <c r="B683">
        <v>1200000</v>
      </c>
      <c r="C683">
        <v>4</v>
      </c>
      <c r="D683">
        <v>0</v>
      </c>
      <c r="E683">
        <v>1</v>
      </c>
      <c r="F683">
        <v>0</v>
      </c>
      <c r="G683">
        <v>0</v>
      </c>
      <c r="H683">
        <v>0</v>
      </c>
      <c r="I683">
        <v>0</v>
      </c>
      <c r="J683" t="s">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D7E9-C35C-4E42-B1BC-8ED4C0F1B2EB}">
  <dimension ref="A1:I63"/>
  <sheetViews>
    <sheetView workbookViewId="0">
      <selection activeCell="F5" sqref="F5"/>
    </sheetView>
  </sheetViews>
  <sheetFormatPr defaultRowHeight="14.4" x14ac:dyDescent="0.3"/>
  <cols>
    <col min="1" max="2" width="30" customWidth="1"/>
    <col min="3" max="4" width="10" customWidth="1"/>
    <col min="5" max="5" width="15.44140625" customWidth="1"/>
    <col min="6" max="6" width="24.109375" customWidth="1"/>
    <col min="7" max="7" width="27.109375" customWidth="1"/>
    <col min="8" max="8" width="21" customWidth="1"/>
    <col min="9" max="9" width="53.6640625" customWidth="1"/>
  </cols>
  <sheetData>
    <row r="1" spans="1:9" ht="31.95" customHeight="1" x14ac:dyDescent="0.3">
      <c r="A1" s="44" t="s">
        <v>68</v>
      </c>
      <c r="B1" s="43"/>
      <c r="C1" s="43"/>
      <c r="D1" s="43"/>
      <c r="E1" s="43"/>
      <c r="F1" s="43"/>
      <c r="G1" s="43"/>
      <c r="H1" s="43"/>
      <c r="I1" s="43"/>
    </row>
    <row r="2" spans="1:9" ht="18" customHeight="1" x14ac:dyDescent="0.3">
      <c r="A2" s="45" t="s">
        <v>69</v>
      </c>
      <c r="B2" s="43"/>
      <c r="C2" s="43"/>
      <c r="D2" s="43"/>
      <c r="E2" s="43"/>
      <c r="F2" s="43"/>
      <c r="G2" s="43"/>
      <c r="H2" s="43"/>
      <c r="I2" s="43"/>
    </row>
    <row r="4" spans="1:9" ht="22.05" customHeight="1" x14ac:dyDescent="0.3">
      <c r="A4" s="46" t="s">
        <v>70</v>
      </c>
      <c r="B4" s="43"/>
      <c r="C4" s="43"/>
      <c r="D4" s="43"/>
      <c r="E4" s="43"/>
      <c r="F4" s="43"/>
      <c r="G4" s="43"/>
      <c r="H4" s="43"/>
      <c r="I4" s="43"/>
    </row>
    <row r="5" spans="1:9" ht="18" customHeight="1" x14ac:dyDescent="0.3">
      <c r="A5" s="26" t="s">
        <v>71</v>
      </c>
      <c r="B5" s="26" t="s">
        <v>72</v>
      </c>
      <c r="C5" s="26" t="s">
        <v>73</v>
      </c>
      <c r="D5" s="26" t="s">
        <v>74</v>
      </c>
      <c r="E5" s="26" t="s">
        <v>38</v>
      </c>
      <c r="F5" s="26" t="s">
        <v>75</v>
      </c>
      <c r="G5" s="26" t="s">
        <v>76</v>
      </c>
      <c r="H5" s="26" t="s">
        <v>77</v>
      </c>
      <c r="I5" s="26" t="s">
        <v>78</v>
      </c>
    </row>
    <row r="6" spans="1:9" ht="36" customHeight="1" x14ac:dyDescent="0.3">
      <c r="A6" s="27" t="s">
        <v>3</v>
      </c>
      <c r="B6" s="27" t="s">
        <v>4</v>
      </c>
      <c r="C6" s="28">
        <v>2.6707999999999998</v>
      </c>
      <c r="D6" s="28">
        <v>0.1022</v>
      </c>
      <c r="E6" s="28">
        <v>1</v>
      </c>
      <c r="F6" s="28">
        <v>7.6999999999999999E-2</v>
      </c>
      <c r="G6" s="29" t="s">
        <v>79</v>
      </c>
      <c r="H6" s="28" t="s">
        <v>80</v>
      </c>
      <c r="I6" s="30" t="s">
        <v>81</v>
      </c>
    </row>
    <row r="7" spans="1:9" ht="36" customHeight="1" x14ac:dyDescent="0.3">
      <c r="A7" s="27" t="s">
        <v>3</v>
      </c>
      <c r="B7" s="27" t="s">
        <v>7</v>
      </c>
      <c r="C7" s="31">
        <v>0</v>
      </c>
      <c r="D7" s="31">
        <v>1</v>
      </c>
      <c r="E7" s="31">
        <v>1</v>
      </c>
      <c r="F7" s="31">
        <v>0</v>
      </c>
      <c r="G7" s="32" t="s">
        <v>79</v>
      </c>
      <c r="H7" s="31" t="s">
        <v>80</v>
      </c>
      <c r="I7" s="33" t="s">
        <v>82</v>
      </c>
    </row>
    <row r="8" spans="1:9" ht="36" customHeight="1" x14ac:dyDescent="0.3">
      <c r="A8" s="27" t="s">
        <v>3</v>
      </c>
      <c r="B8" s="27" t="s">
        <v>8</v>
      </c>
      <c r="C8" s="34">
        <v>7.7906000000000004</v>
      </c>
      <c r="D8" s="34">
        <v>5.3E-3</v>
      </c>
      <c r="E8" s="34">
        <v>1</v>
      </c>
      <c r="F8" s="34">
        <v>0.13100000000000001</v>
      </c>
      <c r="G8" s="35" t="s">
        <v>83</v>
      </c>
      <c r="H8" s="34" t="s">
        <v>84</v>
      </c>
      <c r="I8" s="36" t="s">
        <v>85</v>
      </c>
    </row>
    <row r="9" spans="1:9" ht="36" customHeight="1" x14ac:dyDescent="0.3">
      <c r="A9" s="27" t="s">
        <v>3</v>
      </c>
      <c r="B9" s="27" t="s">
        <v>9</v>
      </c>
      <c r="C9" s="31">
        <v>1.1599999999999999E-2</v>
      </c>
      <c r="D9" s="31">
        <v>0.91439999999999999</v>
      </c>
      <c r="E9" s="31">
        <v>1</v>
      </c>
      <c r="F9" s="31">
        <v>5.0000000000000001E-3</v>
      </c>
      <c r="G9" s="32" t="s">
        <v>79</v>
      </c>
      <c r="H9" s="31" t="s">
        <v>80</v>
      </c>
      <c r="I9" s="33" t="s">
        <v>86</v>
      </c>
    </row>
    <row r="10" spans="1:9" ht="36" customHeight="1" x14ac:dyDescent="0.3">
      <c r="A10" s="27" t="s">
        <v>4</v>
      </c>
      <c r="B10" s="27" t="s">
        <v>7</v>
      </c>
      <c r="C10" s="28">
        <v>3.5895999999999999</v>
      </c>
      <c r="D10" s="28">
        <v>5.8099999999999999E-2</v>
      </c>
      <c r="E10" s="28">
        <v>1</v>
      </c>
      <c r="F10" s="28">
        <v>8.8999999999999996E-2</v>
      </c>
      <c r="G10" s="29" t="s">
        <v>79</v>
      </c>
      <c r="H10" s="28" t="s">
        <v>80</v>
      </c>
      <c r="I10" s="30" t="s">
        <v>87</v>
      </c>
    </row>
    <row r="11" spans="1:9" ht="36" customHeight="1" x14ac:dyDescent="0.3">
      <c r="A11" s="27" t="s">
        <v>4</v>
      </c>
      <c r="B11" s="27" t="s">
        <v>8</v>
      </c>
      <c r="C11" s="31">
        <v>0.184</v>
      </c>
      <c r="D11" s="31">
        <v>0.66800000000000004</v>
      </c>
      <c r="E11" s="31">
        <v>1</v>
      </c>
      <c r="F11" s="31">
        <v>0.02</v>
      </c>
      <c r="G11" s="32" t="s">
        <v>79</v>
      </c>
      <c r="H11" s="31" t="s">
        <v>80</v>
      </c>
      <c r="I11" s="33" t="s">
        <v>88</v>
      </c>
    </row>
    <row r="12" spans="1:9" ht="36" customHeight="1" x14ac:dyDescent="0.3">
      <c r="A12" s="27" t="s">
        <v>4</v>
      </c>
      <c r="B12" s="27" t="s">
        <v>9</v>
      </c>
      <c r="C12" s="28">
        <v>0.37080000000000002</v>
      </c>
      <c r="D12" s="28">
        <v>0.54259999999999997</v>
      </c>
      <c r="E12" s="28">
        <v>1</v>
      </c>
      <c r="F12" s="28">
        <v>2.9000000000000001E-2</v>
      </c>
      <c r="G12" s="29" t="s">
        <v>79</v>
      </c>
      <c r="H12" s="28" t="s">
        <v>80</v>
      </c>
      <c r="I12" s="30" t="s">
        <v>89</v>
      </c>
    </row>
    <row r="13" spans="1:9" ht="36" customHeight="1" x14ac:dyDescent="0.3">
      <c r="A13" s="27" t="s">
        <v>7</v>
      </c>
      <c r="B13" s="27" t="s">
        <v>8</v>
      </c>
      <c r="C13" s="31">
        <v>2.5426000000000002</v>
      </c>
      <c r="D13" s="31">
        <v>0.1108</v>
      </c>
      <c r="E13" s="31">
        <v>1</v>
      </c>
      <c r="F13" s="31">
        <v>7.4999999999999997E-2</v>
      </c>
      <c r="G13" s="32" t="s">
        <v>79</v>
      </c>
      <c r="H13" s="31" t="s">
        <v>80</v>
      </c>
      <c r="I13" s="33" t="s">
        <v>90</v>
      </c>
    </row>
    <row r="14" spans="1:9" ht="36" customHeight="1" x14ac:dyDescent="0.3">
      <c r="A14" s="27" t="s">
        <v>7</v>
      </c>
      <c r="B14" s="27" t="s">
        <v>9</v>
      </c>
      <c r="C14" s="28">
        <v>2.5466000000000002</v>
      </c>
      <c r="D14" s="28">
        <v>0.1105</v>
      </c>
      <c r="E14" s="28">
        <v>1</v>
      </c>
      <c r="F14" s="28">
        <v>7.4999999999999997E-2</v>
      </c>
      <c r="G14" s="29" t="s">
        <v>79</v>
      </c>
      <c r="H14" s="28" t="s">
        <v>80</v>
      </c>
      <c r="I14" s="30" t="s">
        <v>91</v>
      </c>
    </row>
    <row r="15" spans="1:9" ht="36" customHeight="1" x14ac:dyDescent="0.3">
      <c r="A15" s="27" t="s">
        <v>8</v>
      </c>
      <c r="B15" s="27" t="s">
        <v>9</v>
      </c>
      <c r="C15" s="31">
        <v>2.1560999999999999</v>
      </c>
      <c r="D15" s="31">
        <v>0.14199999999999999</v>
      </c>
      <c r="E15" s="31">
        <v>1</v>
      </c>
      <c r="F15" s="31">
        <v>6.9000000000000006E-2</v>
      </c>
      <c r="G15" s="32" t="s">
        <v>79</v>
      </c>
      <c r="H15" s="31" t="s">
        <v>80</v>
      </c>
      <c r="I15" s="33" t="s">
        <v>92</v>
      </c>
    </row>
    <row r="16" spans="1:9" ht="30" customHeight="1" x14ac:dyDescent="0.3">
      <c r="A16" s="47" t="s">
        <v>93</v>
      </c>
      <c r="B16" s="43"/>
      <c r="C16" s="43"/>
      <c r="D16" s="43"/>
      <c r="E16" s="43"/>
      <c r="F16" s="43"/>
      <c r="G16" s="43"/>
      <c r="H16" s="43"/>
      <c r="I16" s="43"/>
    </row>
    <row r="18" spans="1:9" ht="22.05" customHeight="1" x14ac:dyDescent="0.3">
      <c r="A18" s="46" t="s">
        <v>94</v>
      </c>
      <c r="B18" s="43"/>
      <c r="C18" s="43"/>
      <c r="D18" s="43"/>
      <c r="E18" s="43"/>
      <c r="F18" s="43"/>
      <c r="G18" s="43"/>
      <c r="H18" s="43"/>
      <c r="I18" s="43"/>
    </row>
    <row r="19" spans="1:9" ht="18" customHeight="1" x14ac:dyDescent="0.3">
      <c r="A19" s="26" t="s">
        <v>95</v>
      </c>
      <c r="B19" s="26" t="s">
        <v>96</v>
      </c>
      <c r="C19" s="26" t="s">
        <v>97</v>
      </c>
      <c r="D19" s="26" t="s">
        <v>98</v>
      </c>
      <c r="E19" s="26" t="s">
        <v>99</v>
      </c>
      <c r="F19" s="26" t="s">
        <v>73</v>
      </c>
      <c r="G19" s="26" t="s">
        <v>74</v>
      </c>
      <c r="H19" s="26" t="s">
        <v>76</v>
      </c>
      <c r="I19" s="26" t="s">
        <v>78</v>
      </c>
    </row>
    <row r="20" spans="1:9" ht="42" customHeight="1" x14ac:dyDescent="0.3">
      <c r="A20" s="27" t="s">
        <v>3</v>
      </c>
      <c r="B20" s="28" t="s">
        <v>100</v>
      </c>
      <c r="C20" s="28" t="s">
        <v>101</v>
      </c>
      <c r="D20" s="28">
        <v>138</v>
      </c>
      <c r="E20" s="28">
        <v>392</v>
      </c>
      <c r="F20" s="28">
        <v>1.41E-2</v>
      </c>
      <c r="G20" s="28">
        <v>0.90549999999999997</v>
      </c>
      <c r="H20" s="29" t="s">
        <v>79</v>
      </c>
      <c r="I20" s="30" t="s">
        <v>102</v>
      </c>
    </row>
    <row r="21" spans="1:9" ht="42" customHeight="1" x14ac:dyDescent="0.3">
      <c r="A21" s="27" t="s">
        <v>4</v>
      </c>
      <c r="B21" s="31" t="s">
        <v>103</v>
      </c>
      <c r="C21" s="31" t="s">
        <v>104</v>
      </c>
      <c r="D21" s="31">
        <v>386</v>
      </c>
      <c r="E21" s="31">
        <v>1111</v>
      </c>
      <c r="F21" s="31">
        <v>0</v>
      </c>
      <c r="G21" s="31">
        <v>1</v>
      </c>
      <c r="H21" s="32" t="s">
        <v>79</v>
      </c>
      <c r="I21" s="33" t="s">
        <v>105</v>
      </c>
    </row>
    <row r="22" spans="1:9" ht="42" customHeight="1" x14ac:dyDescent="0.3">
      <c r="A22" s="27" t="s">
        <v>7</v>
      </c>
      <c r="B22" s="28" t="s">
        <v>106</v>
      </c>
      <c r="C22" s="28" t="s">
        <v>107</v>
      </c>
      <c r="D22" s="28">
        <v>122</v>
      </c>
      <c r="E22" s="28">
        <v>360</v>
      </c>
      <c r="F22" s="28">
        <v>4.02E-2</v>
      </c>
      <c r="G22" s="28">
        <v>0.84109999999999996</v>
      </c>
      <c r="H22" s="29" t="s">
        <v>79</v>
      </c>
      <c r="I22" s="30" t="s">
        <v>108</v>
      </c>
    </row>
    <row r="23" spans="1:9" ht="42" customHeight="1" x14ac:dyDescent="0.3">
      <c r="A23" s="27" t="s">
        <v>8</v>
      </c>
      <c r="B23" s="34" t="s">
        <v>109</v>
      </c>
      <c r="C23" s="34" t="s">
        <v>110</v>
      </c>
      <c r="D23" s="34">
        <v>66</v>
      </c>
      <c r="E23" s="34">
        <v>272</v>
      </c>
      <c r="F23" s="34">
        <v>8.0939999999999994</v>
      </c>
      <c r="G23" s="34">
        <v>4.4000000000000003E-3</v>
      </c>
      <c r="H23" s="35" t="s">
        <v>83</v>
      </c>
      <c r="I23" s="36" t="s">
        <v>111</v>
      </c>
    </row>
    <row r="24" spans="1:9" ht="42" customHeight="1" x14ac:dyDescent="0.3">
      <c r="A24" s="27" t="s">
        <v>9</v>
      </c>
      <c r="B24" s="34" t="s">
        <v>112</v>
      </c>
      <c r="C24" s="34" t="s">
        <v>113</v>
      </c>
      <c r="D24" s="34">
        <v>32</v>
      </c>
      <c r="E24" s="34">
        <v>251</v>
      </c>
      <c r="F24" s="34">
        <v>35.935899999999997</v>
      </c>
      <c r="G24" s="34" t="s">
        <v>114</v>
      </c>
      <c r="H24" s="35" t="s">
        <v>83</v>
      </c>
      <c r="I24" s="36" t="s">
        <v>115</v>
      </c>
    </row>
    <row r="25" spans="1:9" ht="30" customHeight="1" x14ac:dyDescent="0.3">
      <c r="A25" s="47" t="s">
        <v>116</v>
      </c>
      <c r="B25" s="43"/>
      <c r="C25" s="43"/>
      <c r="D25" s="43"/>
      <c r="E25" s="43"/>
      <c r="F25" s="43"/>
      <c r="G25" s="43"/>
      <c r="H25" s="43"/>
      <c r="I25" s="43"/>
    </row>
    <row r="27" spans="1:9" ht="19.95" customHeight="1" x14ac:dyDescent="0.3">
      <c r="A27" s="48" t="s">
        <v>117</v>
      </c>
      <c r="B27" s="43"/>
      <c r="C27" s="43"/>
      <c r="D27" s="43"/>
      <c r="E27" s="43"/>
      <c r="F27" s="43"/>
      <c r="G27" s="43"/>
      <c r="H27" s="43"/>
      <c r="I27" s="43"/>
    </row>
    <row r="28" spans="1:9" ht="16.05" customHeight="1" x14ac:dyDescent="0.3">
      <c r="A28" s="42" t="s">
        <v>118</v>
      </c>
      <c r="B28" s="43"/>
      <c r="C28" s="43"/>
      <c r="D28" s="43"/>
      <c r="E28" s="43"/>
      <c r="F28" s="43"/>
      <c r="G28" s="43"/>
      <c r="H28" s="43"/>
      <c r="I28" s="43"/>
    </row>
    <row r="29" spans="1:9" ht="16.05" customHeight="1" x14ac:dyDescent="0.3">
      <c r="A29" s="37"/>
      <c r="B29" s="37" t="s">
        <v>119</v>
      </c>
      <c r="C29" s="37" t="s">
        <v>120</v>
      </c>
      <c r="D29" s="37" t="s">
        <v>121</v>
      </c>
      <c r="E29" s="37" t="s">
        <v>122</v>
      </c>
      <c r="F29" s="37" t="s">
        <v>123</v>
      </c>
    </row>
    <row r="30" spans="1:9" ht="16.05" customHeight="1" x14ac:dyDescent="0.3">
      <c r="A30" s="38" t="s">
        <v>124</v>
      </c>
      <c r="B30" s="28">
        <v>138</v>
      </c>
      <c r="C30" s="28">
        <v>314</v>
      </c>
      <c r="D30" s="28">
        <v>452</v>
      </c>
      <c r="E30" s="28" t="s">
        <v>100</v>
      </c>
      <c r="F30" s="28" t="s">
        <v>125</v>
      </c>
    </row>
    <row r="31" spans="1:9" ht="16.05" customHeight="1" x14ac:dyDescent="0.3">
      <c r="A31" s="39" t="s">
        <v>126</v>
      </c>
      <c r="B31" s="40">
        <v>392</v>
      </c>
      <c r="C31" s="40">
        <v>911</v>
      </c>
      <c r="D31" s="40">
        <v>1303</v>
      </c>
      <c r="E31" s="40" t="s">
        <v>101</v>
      </c>
      <c r="F31" s="40" t="s">
        <v>127</v>
      </c>
    </row>
    <row r="32" spans="1:9" ht="16.05" customHeight="1" x14ac:dyDescent="0.3">
      <c r="A32" s="27" t="s">
        <v>128</v>
      </c>
      <c r="B32" s="41">
        <v>530</v>
      </c>
      <c r="C32" s="41">
        <v>1225</v>
      </c>
      <c r="D32" s="41">
        <v>1755</v>
      </c>
      <c r="E32" s="41" t="s">
        <v>129</v>
      </c>
      <c r="F32" s="41" t="s">
        <v>130</v>
      </c>
    </row>
    <row r="33" spans="1:9" ht="16.05" customHeight="1" x14ac:dyDescent="0.3">
      <c r="A33" s="42" t="s">
        <v>131</v>
      </c>
      <c r="B33" s="43"/>
      <c r="C33" s="43"/>
      <c r="D33" s="43"/>
      <c r="E33" s="43"/>
      <c r="F33" s="43"/>
      <c r="G33" s="43"/>
      <c r="H33" s="43"/>
      <c r="I33" s="43"/>
    </row>
    <row r="34" spans="1:9" ht="16.05" customHeight="1" x14ac:dyDescent="0.3">
      <c r="A34" s="37"/>
      <c r="B34" s="37" t="s">
        <v>119</v>
      </c>
      <c r="C34" s="37" t="s">
        <v>120</v>
      </c>
      <c r="D34" s="37" t="s">
        <v>121</v>
      </c>
      <c r="E34" s="37" t="s">
        <v>122</v>
      </c>
      <c r="F34" s="37" t="s">
        <v>123</v>
      </c>
    </row>
    <row r="35" spans="1:9" ht="16.05" customHeight="1" x14ac:dyDescent="0.3">
      <c r="A35" s="38" t="s">
        <v>124</v>
      </c>
      <c r="B35" s="28">
        <v>386</v>
      </c>
      <c r="C35" s="28">
        <v>66</v>
      </c>
      <c r="D35" s="28">
        <v>452</v>
      </c>
      <c r="E35" s="28" t="s">
        <v>103</v>
      </c>
      <c r="F35" s="28" t="s">
        <v>109</v>
      </c>
    </row>
    <row r="36" spans="1:9" ht="16.05" customHeight="1" x14ac:dyDescent="0.3">
      <c r="A36" s="39" t="s">
        <v>126</v>
      </c>
      <c r="B36" s="40">
        <v>1111</v>
      </c>
      <c r="C36" s="40">
        <v>192</v>
      </c>
      <c r="D36" s="40">
        <v>1303</v>
      </c>
      <c r="E36" s="40" t="s">
        <v>104</v>
      </c>
      <c r="F36" s="40" t="s">
        <v>132</v>
      </c>
    </row>
    <row r="37" spans="1:9" ht="16.05" customHeight="1" x14ac:dyDescent="0.3">
      <c r="A37" s="27" t="s">
        <v>128</v>
      </c>
      <c r="B37" s="41">
        <v>1497</v>
      </c>
      <c r="C37" s="41">
        <v>258</v>
      </c>
      <c r="D37" s="41">
        <v>1755</v>
      </c>
      <c r="E37" s="41" t="s">
        <v>104</v>
      </c>
      <c r="F37" s="41" t="s">
        <v>132</v>
      </c>
    </row>
    <row r="38" spans="1:9" ht="16.05" customHeight="1" x14ac:dyDescent="0.3">
      <c r="A38" s="42" t="s">
        <v>133</v>
      </c>
      <c r="B38" s="43"/>
      <c r="C38" s="43"/>
      <c r="D38" s="43"/>
      <c r="E38" s="43"/>
      <c r="F38" s="43"/>
      <c r="G38" s="43"/>
      <c r="H38" s="43"/>
      <c r="I38" s="43"/>
    </row>
    <row r="39" spans="1:9" ht="16.05" customHeight="1" x14ac:dyDescent="0.3">
      <c r="A39" s="37"/>
      <c r="B39" s="37" t="s">
        <v>119</v>
      </c>
      <c r="C39" s="37" t="s">
        <v>120</v>
      </c>
      <c r="D39" s="37" t="s">
        <v>121</v>
      </c>
      <c r="E39" s="37" t="s">
        <v>122</v>
      </c>
      <c r="F39" s="37" t="s">
        <v>123</v>
      </c>
    </row>
    <row r="40" spans="1:9" ht="16.05" customHeight="1" x14ac:dyDescent="0.3">
      <c r="A40" s="38" t="s">
        <v>124</v>
      </c>
      <c r="B40" s="28">
        <v>122</v>
      </c>
      <c r="C40" s="28">
        <v>330</v>
      </c>
      <c r="D40" s="28">
        <v>452</v>
      </c>
      <c r="E40" s="28" t="s">
        <v>106</v>
      </c>
      <c r="F40" s="28" t="s">
        <v>134</v>
      </c>
    </row>
    <row r="41" spans="1:9" ht="16.05" customHeight="1" x14ac:dyDescent="0.3">
      <c r="A41" s="39" t="s">
        <v>126</v>
      </c>
      <c r="B41" s="40">
        <v>360</v>
      </c>
      <c r="C41" s="40">
        <v>943</v>
      </c>
      <c r="D41" s="40">
        <v>1303</v>
      </c>
      <c r="E41" s="40" t="s">
        <v>107</v>
      </c>
      <c r="F41" s="40" t="s">
        <v>135</v>
      </c>
    </row>
    <row r="42" spans="1:9" ht="16.05" customHeight="1" x14ac:dyDescent="0.3">
      <c r="A42" s="27" t="s">
        <v>128</v>
      </c>
      <c r="B42" s="41">
        <v>482</v>
      </c>
      <c r="C42" s="41">
        <v>1273</v>
      </c>
      <c r="D42" s="41">
        <v>1755</v>
      </c>
      <c r="E42" s="41" t="s">
        <v>136</v>
      </c>
      <c r="F42" s="41" t="s">
        <v>137</v>
      </c>
    </row>
    <row r="43" spans="1:9" ht="16.05" customHeight="1" x14ac:dyDescent="0.3">
      <c r="A43" s="42" t="s">
        <v>138</v>
      </c>
      <c r="B43" s="43"/>
      <c r="C43" s="43"/>
      <c r="D43" s="43"/>
      <c r="E43" s="43"/>
      <c r="F43" s="43"/>
      <c r="G43" s="43"/>
      <c r="H43" s="43"/>
      <c r="I43" s="43"/>
    </row>
    <row r="44" spans="1:9" ht="16.05" customHeight="1" x14ac:dyDescent="0.3">
      <c r="A44" s="37"/>
      <c r="B44" s="37" t="s">
        <v>119</v>
      </c>
      <c r="C44" s="37" t="s">
        <v>120</v>
      </c>
      <c r="D44" s="37" t="s">
        <v>121</v>
      </c>
      <c r="E44" s="37" t="s">
        <v>122</v>
      </c>
      <c r="F44" s="37" t="s">
        <v>123</v>
      </c>
    </row>
    <row r="45" spans="1:9" ht="16.05" customHeight="1" x14ac:dyDescent="0.3">
      <c r="A45" s="38" t="s">
        <v>124</v>
      </c>
      <c r="B45" s="28">
        <v>66</v>
      </c>
      <c r="C45" s="28">
        <v>386</v>
      </c>
      <c r="D45" s="28">
        <v>452</v>
      </c>
      <c r="E45" s="28" t="s">
        <v>109</v>
      </c>
      <c r="F45" s="28" t="s">
        <v>103</v>
      </c>
    </row>
    <row r="46" spans="1:9" ht="16.05" customHeight="1" x14ac:dyDescent="0.3">
      <c r="A46" s="39" t="s">
        <v>126</v>
      </c>
      <c r="B46" s="40">
        <v>272</v>
      </c>
      <c r="C46" s="40">
        <v>1031</v>
      </c>
      <c r="D46" s="40">
        <v>1303</v>
      </c>
      <c r="E46" s="40" t="s">
        <v>110</v>
      </c>
      <c r="F46" s="40" t="s">
        <v>139</v>
      </c>
    </row>
    <row r="47" spans="1:9" ht="16.05" customHeight="1" x14ac:dyDescent="0.3">
      <c r="A47" s="27" t="s">
        <v>128</v>
      </c>
      <c r="B47" s="41">
        <v>338</v>
      </c>
      <c r="C47" s="41">
        <v>1417</v>
      </c>
      <c r="D47" s="41">
        <v>1755</v>
      </c>
      <c r="E47" s="41" t="s">
        <v>113</v>
      </c>
      <c r="F47" s="41" t="s">
        <v>140</v>
      </c>
    </row>
    <row r="48" spans="1:9" ht="16.05" customHeight="1" x14ac:dyDescent="0.3">
      <c r="A48" s="42" t="s">
        <v>141</v>
      </c>
      <c r="B48" s="43"/>
      <c r="C48" s="43"/>
      <c r="D48" s="43"/>
      <c r="E48" s="43"/>
      <c r="F48" s="43"/>
      <c r="G48" s="43"/>
      <c r="H48" s="43"/>
      <c r="I48" s="43"/>
    </row>
    <row r="49" spans="1:6" ht="16.05" customHeight="1" x14ac:dyDescent="0.3">
      <c r="A49" s="37"/>
      <c r="B49" s="37" t="s">
        <v>119</v>
      </c>
      <c r="C49" s="37" t="s">
        <v>120</v>
      </c>
      <c r="D49" s="37" t="s">
        <v>121</v>
      </c>
      <c r="E49" s="37" t="s">
        <v>122</v>
      </c>
      <c r="F49" s="37" t="s">
        <v>123</v>
      </c>
    </row>
    <row r="50" spans="1:6" ht="16.05" customHeight="1" x14ac:dyDescent="0.3">
      <c r="A50" s="38" t="s">
        <v>124</v>
      </c>
      <c r="B50" s="28">
        <v>32</v>
      </c>
      <c r="C50" s="28">
        <v>420</v>
      </c>
      <c r="D50" s="28">
        <v>452</v>
      </c>
      <c r="E50" s="28" t="s">
        <v>112</v>
      </c>
      <c r="F50" s="28" t="s">
        <v>142</v>
      </c>
    </row>
    <row r="51" spans="1:6" ht="16.05" customHeight="1" x14ac:dyDescent="0.3">
      <c r="A51" s="39" t="s">
        <v>126</v>
      </c>
      <c r="B51" s="40">
        <v>251</v>
      </c>
      <c r="C51" s="40">
        <v>1052</v>
      </c>
      <c r="D51" s="40">
        <v>1303</v>
      </c>
      <c r="E51" s="40" t="s">
        <v>113</v>
      </c>
      <c r="F51" s="40" t="s">
        <v>140</v>
      </c>
    </row>
    <row r="52" spans="1:6" ht="16.05" customHeight="1" x14ac:dyDescent="0.3">
      <c r="A52" s="27" t="s">
        <v>128</v>
      </c>
      <c r="B52" s="41">
        <v>283</v>
      </c>
      <c r="C52" s="41">
        <v>1472</v>
      </c>
      <c r="D52" s="41">
        <v>1755</v>
      </c>
      <c r="E52" s="41" t="s">
        <v>143</v>
      </c>
      <c r="F52" s="41" t="s">
        <v>144</v>
      </c>
    </row>
    <row r="58" spans="1:6" x14ac:dyDescent="0.3">
      <c r="A58" t="s">
        <v>145</v>
      </c>
      <c r="B58" t="s">
        <v>146</v>
      </c>
      <c r="C58" t="s">
        <v>147</v>
      </c>
    </row>
    <row r="59" spans="1:6" x14ac:dyDescent="0.3">
      <c r="A59" t="s">
        <v>148</v>
      </c>
      <c r="B59">
        <v>30.5</v>
      </c>
      <c r="C59">
        <v>30.1</v>
      </c>
    </row>
    <row r="60" spans="1:6" x14ac:dyDescent="0.3">
      <c r="A60" t="s">
        <v>149</v>
      </c>
      <c r="B60">
        <v>85.4</v>
      </c>
      <c r="C60">
        <v>85.3</v>
      </c>
    </row>
    <row r="61" spans="1:6" x14ac:dyDescent="0.3">
      <c r="A61" t="s">
        <v>150</v>
      </c>
      <c r="B61">
        <v>27</v>
      </c>
      <c r="C61">
        <v>27.6</v>
      </c>
    </row>
    <row r="62" spans="1:6" x14ac:dyDescent="0.3">
      <c r="A62" t="s">
        <v>151</v>
      </c>
      <c r="B62">
        <v>14.6</v>
      </c>
      <c r="C62">
        <v>20.9</v>
      </c>
    </row>
    <row r="63" spans="1:6" x14ac:dyDescent="0.3">
      <c r="A63" t="s">
        <v>152</v>
      </c>
      <c r="B63">
        <v>7.1</v>
      </c>
      <c r="C63">
        <v>19.3</v>
      </c>
    </row>
  </sheetData>
  <mergeCells count="12">
    <mergeCell ref="A48:I48"/>
    <mergeCell ref="A1:I1"/>
    <mergeCell ref="A2:I2"/>
    <mergeCell ref="A4:I4"/>
    <mergeCell ref="A16:I16"/>
    <mergeCell ref="A18:I18"/>
    <mergeCell ref="A25:I25"/>
    <mergeCell ref="A27:I27"/>
    <mergeCell ref="A28:I28"/>
    <mergeCell ref="A33:I33"/>
    <mergeCell ref="A38:I38"/>
    <mergeCell ref="A43:I4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085B-4B1D-41EC-94BE-1179254F1290}">
  <dimension ref="D3:G13"/>
  <sheetViews>
    <sheetView workbookViewId="0">
      <selection activeCell="M25" sqref="M25"/>
    </sheetView>
  </sheetViews>
  <sheetFormatPr defaultRowHeight="14.4" x14ac:dyDescent="0.3"/>
  <sheetData>
    <row r="3" spans="4:7" x14ac:dyDescent="0.3">
      <c r="E3" t="s">
        <v>153</v>
      </c>
      <c r="F3" t="s">
        <v>154</v>
      </c>
    </row>
    <row r="4" spans="4:7" x14ac:dyDescent="0.3">
      <c r="D4" t="s">
        <v>155</v>
      </c>
      <c r="E4">
        <v>124</v>
      </c>
      <c r="F4">
        <v>14</v>
      </c>
      <c r="G4">
        <f>SUM(E4:F4)</f>
        <v>138</v>
      </c>
    </row>
    <row r="5" spans="4:7" x14ac:dyDescent="0.3">
      <c r="D5" t="s">
        <v>156</v>
      </c>
      <c r="E5">
        <v>262</v>
      </c>
      <c r="F5">
        <v>52</v>
      </c>
      <c r="G5">
        <f>SUM(E5:F5)</f>
        <v>314</v>
      </c>
    </row>
    <row r="6" spans="4:7" x14ac:dyDescent="0.3">
      <c r="E6">
        <f>SUM(E4:E5)</f>
        <v>386</v>
      </c>
      <c r="F6">
        <f>SUM(F4:F5)</f>
        <v>66</v>
      </c>
      <c r="G6">
        <f>SUM(G4:G5)</f>
        <v>452</v>
      </c>
    </row>
    <row r="7" spans="4:7" x14ac:dyDescent="0.3">
      <c r="D7" t="s">
        <v>157</v>
      </c>
    </row>
    <row r="8" spans="4:7" x14ac:dyDescent="0.3">
      <c r="E8">
        <f>(E6*G4)/$G$6</f>
        <v>117.84955752212389</v>
      </c>
      <c r="F8">
        <f>(F6*G4)/452</f>
        <v>20.150442477876105</v>
      </c>
    </row>
    <row r="9" spans="4:7" x14ac:dyDescent="0.3">
      <c r="E9">
        <f>(E6*G5)/452</f>
        <v>268.15044247787608</v>
      </c>
      <c r="F9">
        <f>(F6*G5)/G6</f>
        <v>45.849557522123895</v>
      </c>
    </row>
    <row r="11" spans="4:7" x14ac:dyDescent="0.3">
      <c r="D11" t="s">
        <v>158</v>
      </c>
      <c r="E11">
        <f>_xlfn.CHISQ.TEST(E4:F5,E8:F9)</f>
        <v>7.5261201788228163E-2</v>
      </c>
    </row>
    <row r="12" spans="4:7" x14ac:dyDescent="0.3">
      <c r="D12" t="s">
        <v>159</v>
      </c>
    </row>
    <row r="13" spans="4:7" x14ac:dyDescent="0.3">
      <c r="D13" t="s">
        <v>160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6B410-868E-4759-9AF5-BC58A15A26E4}">
  <dimension ref="A1:I29"/>
  <sheetViews>
    <sheetView workbookViewId="0">
      <selection activeCell="I6" sqref="I6"/>
    </sheetView>
  </sheetViews>
  <sheetFormatPr defaultRowHeight="14.4" x14ac:dyDescent="0.3"/>
  <cols>
    <col min="1" max="1" width="32" customWidth="1"/>
    <col min="2" max="6" width="10" customWidth="1"/>
    <col min="7" max="7" width="14" customWidth="1"/>
    <col min="8" max="8" width="18" customWidth="1"/>
    <col min="9" max="9" width="36" customWidth="1"/>
  </cols>
  <sheetData>
    <row r="1" spans="1:9" ht="18" x14ac:dyDescent="0.3">
      <c r="A1" s="44" t="s">
        <v>161</v>
      </c>
      <c r="B1" s="43"/>
      <c r="C1" s="43"/>
      <c r="D1" s="43"/>
      <c r="E1" s="43"/>
      <c r="F1" s="43"/>
      <c r="G1" s="43"/>
      <c r="H1" s="43"/>
      <c r="I1" s="43"/>
    </row>
    <row r="2" spans="1:9" ht="18" customHeight="1" x14ac:dyDescent="0.3">
      <c r="A2" s="45" t="s">
        <v>162</v>
      </c>
      <c r="B2" s="43"/>
      <c r="C2" s="43"/>
      <c r="D2" s="43"/>
      <c r="E2" s="43"/>
      <c r="F2" s="43"/>
      <c r="G2" s="43"/>
      <c r="H2" s="43"/>
      <c r="I2" s="43"/>
    </row>
    <row r="4" spans="1:9" ht="15.6" x14ac:dyDescent="0.3">
      <c r="A4" s="46" t="s">
        <v>163</v>
      </c>
      <c r="B4" s="43"/>
      <c r="C4" s="43"/>
      <c r="D4" s="43"/>
      <c r="E4" s="43"/>
      <c r="F4" s="43"/>
      <c r="G4" s="43"/>
      <c r="H4" s="43"/>
      <c r="I4" s="43"/>
    </row>
    <row r="5" spans="1:9" ht="18" customHeight="1" x14ac:dyDescent="0.3">
      <c r="A5" s="26" t="s">
        <v>164</v>
      </c>
      <c r="B5" s="26" t="s">
        <v>165</v>
      </c>
      <c r="C5" s="26" t="s">
        <v>166</v>
      </c>
      <c r="D5" s="26" t="s">
        <v>74</v>
      </c>
      <c r="E5" s="26" t="s">
        <v>19</v>
      </c>
      <c r="F5" s="26" t="s">
        <v>18</v>
      </c>
      <c r="G5" s="26" t="s">
        <v>167</v>
      </c>
      <c r="H5" s="26" t="s">
        <v>168</v>
      </c>
      <c r="I5" s="26" t="s">
        <v>78</v>
      </c>
    </row>
    <row r="6" spans="1:9" ht="42" customHeight="1" x14ac:dyDescent="0.3">
      <c r="A6" s="27" t="s">
        <v>2</v>
      </c>
      <c r="B6" s="49">
        <v>452</v>
      </c>
      <c r="C6" s="49">
        <v>0.92559999999999998</v>
      </c>
      <c r="D6" s="49">
        <v>0</v>
      </c>
      <c r="E6" s="49">
        <v>0.44</v>
      </c>
      <c r="F6" s="49">
        <v>-0.79</v>
      </c>
      <c r="G6" s="50" t="s">
        <v>169</v>
      </c>
      <c r="H6" s="50" t="s">
        <v>170</v>
      </c>
      <c r="I6" s="51" t="s">
        <v>171</v>
      </c>
    </row>
    <row r="7" spans="1:9" ht="42" customHeight="1" x14ac:dyDescent="0.3">
      <c r="A7" s="27" t="s">
        <v>5</v>
      </c>
      <c r="B7" s="49">
        <v>452</v>
      </c>
      <c r="C7" s="49">
        <v>0.95909999999999995</v>
      </c>
      <c r="D7" s="49">
        <v>0</v>
      </c>
      <c r="E7" s="49">
        <v>7.5999999999999998E-2</v>
      </c>
      <c r="F7" s="49">
        <v>-0.85599999999999998</v>
      </c>
      <c r="G7" s="50" t="s">
        <v>169</v>
      </c>
      <c r="H7" s="50" t="s">
        <v>170</v>
      </c>
      <c r="I7" s="51" t="s">
        <v>172</v>
      </c>
    </row>
    <row r="8" spans="1:9" ht="42" customHeight="1" x14ac:dyDescent="0.3">
      <c r="A8" s="27" t="s">
        <v>6</v>
      </c>
      <c r="B8" s="49">
        <v>452</v>
      </c>
      <c r="C8" s="49">
        <v>0.92230000000000001</v>
      </c>
      <c r="D8" s="49">
        <v>0</v>
      </c>
      <c r="E8" s="49">
        <v>0.73799999999999999</v>
      </c>
      <c r="F8" s="49">
        <v>0.27800000000000002</v>
      </c>
      <c r="G8" s="50" t="s">
        <v>169</v>
      </c>
      <c r="H8" s="50" t="s">
        <v>170</v>
      </c>
      <c r="I8" s="51" t="s">
        <v>173</v>
      </c>
    </row>
    <row r="9" spans="1:9" ht="30" customHeight="1" x14ac:dyDescent="0.3">
      <c r="A9" s="47" t="s">
        <v>174</v>
      </c>
      <c r="B9" s="43"/>
      <c r="C9" s="43"/>
      <c r="D9" s="43"/>
      <c r="E9" s="43"/>
      <c r="F9" s="43"/>
      <c r="G9" s="43"/>
      <c r="H9" s="43"/>
      <c r="I9" s="43"/>
    </row>
    <row r="11" spans="1:9" ht="15.6" x14ac:dyDescent="0.3">
      <c r="A11" s="46" t="s">
        <v>175</v>
      </c>
      <c r="B11" s="43"/>
      <c r="C11" s="43"/>
      <c r="D11" s="43"/>
      <c r="E11" s="43"/>
      <c r="F11" s="43"/>
      <c r="G11" s="43"/>
      <c r="H11" s="43"/>
      <c r="I11" s="43"/>
    </row>
    <row r="12" spans="1:9" ht="18" customHeight="1" x14ac:dyDescent="0.3">
      <c r="A12" s="26" t="s">
        <v>164</v>
      </c>
      <c r="B12" s="26" t="s">
        <v>165</v>
      </c>
      <c r="C12" s="26" t="s">
        <v>166</v>
      </c>
      <c r="D12" s="26" t="s">
        <v>74</v>
      </c>
      <c r="E12" s="26" t="s">
        <v>19</v>
      </c>
      <c r="F12" s="26" t="s">
        <v>18</v>
      </c>
      <c r="G12" s="26" t="s">
        <v>167</v>
      </c>
      <c r="H12" s="26" t="s">
        <v>168</v>
      </c>
      <c r="I12" s="26" t="s">
        <v>78</v>
      </c>
    </row>
    <row r="13" spans="1:9" ht="42" customHeight="1" x14ac:dyDescent="0.3">
      <c r="A13" s="27" t="s">
        <v>2</v>
      </c>
      <c r="B13" s="49">
        <v>1303</v>
      </c>
      <c r="C13" s="49">
        <v>0.9254</v>
      </c>
      <c r="D13" s="49">
        <v>0</v>
      </c>
      <c r="E13" s="49">
        <v>0.23599999999999999</v>
      </c>
      <c r="F13" s="49">
        <v>-1.115</v>
      </c>
      <c r="G13" s="50" t="s">
        <v>169</v>
      </c>
      <c r="H13" s="50" t="s">
        <v>170</v>
      </c>
      <c r="I13" s="51" t="s">
        <v>176</v>
      </c>
    </row>
    <row r="14" spans="1:9" ht="42" customHeight="1" x14ac:dyDescent="0.3">
      <c r="A14" s="27" t="s">
        <v>5</v>
      </c>
      <c r="B14" s="49">
        <v>1303</v>
      </c>
      <c r="C14" s="49">
        <v>0.96279999999999999</v>
      </c>
      <c r="D14" s="49">
        <v>0</v>
      </c>
      <c r="E14" s="49">
        <v>0.11799999999999999</v>
      </c>
      <c r="F14" s="49">
        <v>-1.0289999999999999</v>
      </c>
      <c r="G14" s="50" t="s">
        <v>169</v>
      </c>
      <c r="H14" s="50" t="s">
        <v>170</v>
      </c>
      <c r="I14" s="51" t="s">
        <v>177</v>
      </c>
    </row>
    <row r="15" spans="1:9" ht="42" customHeight="1" x14ac:dyDescent="0.3">
      <c r="A15" s="27" t="s">
        <v>6</v>
      </c>
      <c r="B15" s="49">
        <v>1303</v>
      </c>
      <c r="C15" s="49">
        <v>0.93969999999999998</v>
      </c>
      <c r="D15" s="49">
        <v>0</v>
      </c>
      <c r="E15" s="49">
        <v>0.52800000000000002</v>
      </c>
      <c r="F15" s="49">
        <v>-0.185</v>
      </c>
      <c r="G15" s="50" t="s">
        <v>169</v>
      </c>
      <c r="H15" s="50" t="s">
        <v>170</v>
      </c>
      <c r="I15" s="51" t="s">
        <v>178</v>
      </c>
    </row>
    <row r="16" spans="1:9" ht="30" customHeight="1" x14ac:dyDescent="0.3">
      <c r="A16" s="47" t="s">
        <v>179</v>
      </c>
      <c r="B16" s="43"/>
      <c r="C16" s="43"/>
      <c r="D16" s="43"/>
      <c r="E16" s="43"/>
      <c r="F16" s="43"/>
      <c r="G16" s="43"/>
      <c r="H16" s="43"/>
      <c r="I16" s="43"/>
    </row>
    <row r="18" spans="1:9" ht="15.6" x14ac:dyDescent="0.3">
      <c r="A18" s="48" t="s">
        <v>180</v>
      </c>
      <c r="B18" s="43"/>
      <c r="C18" s="43"/>
      <c r="D18" s="43"/>
      <c r="E18" s="43"/>
      <c r="F18" s="43"/>
      <c r="G18" s="43"/>
      <c r="H18" s="43"/>
      <c r="I18" s="43"/>
    </row>
    <row r="19" spans="1:9" ht="18" customHeight="1" x14ac:dyDescent="0.3">
      <c r="A19" s="52" t="s">
        <v>164</v>
      </c>
      <c r="B19" s="52" t="s">
        <v>181</v>
      </c>
      <c r="C19" s="52" t="s">
        <v>182</v>
      </c>
      <c r="D19" s="52" t="s">
        <v>183</v>
      </c>
      <c r="E19" s="52" t="s">
        <v>184</v>
      </c>
      <c r="F19" s="52" t="s">
        <v>185</v>
      </c>
      <c r="G19" s="52" t="s">
        <v>186</v>
      </c>
      <c r="H19" s="52" t="s">
        <v>187</v>
      </c>
      <c r="I19" s="52" t="s">
        <v>188</v>
      </c>
    </row>
    <row r="20" spans="1:9" ht="36" customHeight="1" x14ac:dyDescent="0.3">
      <c r="A20" s="38" t="s">
        <v>2</v>
      </c>
      <c r="B20" s="28">
        <v>0.92559999999999998</v>
      </c>
      <c r="C20" s="28" t="s">
        <v>114</v>
      </c>
      <c r="D20" s="50" t="s">
        <v>189</v>
      </c>
      <c r="E20" s="28">
        <v>0.9254</v>
      </c>
      <c r="F20" s="28" t="s">
        <v>114</v>
      </c>
      <c r="G20" s="50" t="s">
        <v>189</v>
      </c>
      <c r="H20" s="28" t="s">
        <v>190</v>
      </c>
      <c r="I20" s="30" t="s">
        <v>191</v>
      </c>
    </row>
    <row r="21" spans="1:9" ht="36" customHeight="1" x14ac:dyDescent="0.3">
      <c r="A21" s="27" t="s">
        <v>5</v>
      </c>
      <c r="B21" s="31">
        <v>0.95909999999999995</v>
      </c>
      <c r="C21" s="31" t="s">
        <v>114</v>
      </c>
      <c r="D21" s="50" t="s">
        <v>189</v>
      </c>
      <c r="E21" s="31">
        <v>0.96279999999999999</v>
      </c>
      <c r="F21" s="31" t="s">
        <v>114</v>
      </c>
      <c r="G21" s="50" t="s">
        <v>189</v>
      </c>
      <c r="H21" s="31" t="s">
        <v>190</v>
      </c>
      <c r="I21" s="33" t="s">
        <v>192</v>
      </c>
    </row>
    <row r="22" spans="1:9" ht="36" customHeight="1" x14ac:dyDescent="0.3">
      <c r="A22" s="38" t="s">
        <v>6</v>
      </c>
      <c r="B22" s="28">
        <v>0.92230000000000001</v>
      </c>
      <c r="C22" s="28" t="s">
        <v>114</v>
      </c>
      <c r="D22" s="50" t="s">
        <v>189</v>
      </c>
      <c r="E22" s="28">
        <v>0.93969999999999998</v>
      </c>
      <c r="F22" s="28" t="s">
        <v>114</v>
      </c>
      <c r="G22" s="50" t="s">
        <v>189</v>
      </c>
      <c r="H22" s="28" t="s">
        <v>190</v>
      </c>
      <c r="I22" s="30" t="s">
        <v>193</v>
      </c>
    </row>
    <row r="23" spans="1:9" ht="30" customHeight="1" x14ac:dyDescent="0.3">
      <c r="A23" s="47" t="s">
        <v>194</v>
      </c>
      <c r="B23" s="43"/>
      <c r="C23" s="43"/>
      <c r="D23" s="43"/>
      <c r="E23" s="43"/>
      <c r="F23" s="43"/>
      <c r="G23" s="43"/>
      <c r="H23" s="43"/>
      <c r="I23" s="43"/>
    </row>
    <row r="26" spans="1:9" x14ac:dyDescent="0.3">
      <c r="A26" t="s">
        <v>164</v>
      </c>
      <c r="B26" t="s">
        <v>181</v>
      </c>
      <c r="C26" t="s">
        <v>184</v>
      </c>
      <c r="D26" t="s">
        <v>195</v>
      </c>
    </row>
    <row r="27" spans="1:9" x14ac:dyDescent="0.3">
      <c r="A27" t="s">
        <v>2</v>
      </c>
      <c r="B27">
        <v>0.92559999999999998</v>
      </c>
      <c r="C27">
        <v>0.9254</v>
      </c>
      <c r="D27">
        <v>0.95</v>
      </c>
    </row>
    <row r="28" spans="1:9" x14ac:dyDescent="0.3">
      <c r="A28" t="s">
        <v>5</v>
      </c>
      <c r="B28">
        <v>0.95909999999999995</v>
      </c>
      <c r="C28">
        <v>0.96279999999999999</v>
      </c>
      <c r="D28">
        <v>0.95</v>
      </c>
    </row>
    <row r="29" spans="1:9" x14ac:dyDescent="0.3">
      <c r="A29" t="s">
        <v>6</v>
      </c>
      <c r="B29">
        <v>0.92230000000000001</v>
      </c>
      <c r="C29">
        <v>0.93969999999999998</v>
      </c>
      <c r="D29">
        <v>0.95</v>
      </c>
    </row>
  </sheetData>
  <mergeCells count="8">
    <mergeCell ref="A18:I18"/>
    <mergeCell ref="A23:I23"/>
    <mergeCell ref="A1:I1"/>
    <mergeCell ref="A2:I2"/>
    <mergeCell ref="A4:I4"/>
    <mergeCell ref="A9:I9"/>
    <mergeCell ref="A11:I11"/>
    <mergeCell ref="A16:I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148C-DA13-43DF-8F7D-2B57F0EF5276}">
  <dimension ref="A1:E12"/>
  <sheetViews>
    <sheetView tabSelected="1" workbookViewId="0">
      <selection activeCell="L3" sqref="L3"/>
    </sheetView>
  </sheetViews>
  <sheetFormatPr defaultRowHeight="14.4" x14ac:dyDescent="0.3"/>
  <sheetData>
    <row r="1" spans="1:5" x14ac:dyDescent="0.3">
      <c r="A1" s="56" t="s">
        <v>196</v>
      </c>
      <c r="B1" s="57"/>
      <c r="C1" s="57"/>
      <c r="D1" s="57"/>
      <c r="E1" s="57"/>
    </row>
    <row r="2" spans="1:5" ht="41.4" x14ac:dyDescent="0.3">
      <c r="A2" s="58" t="s">
        <v>197</v>
      </c>
      <c r="B2" s="58" t="s">
        <v>198</v>
      </c>
      <c r="C2" s="58" t="s">
        <v>199</v>
      </c>
      <c r="D2" s="58" t="s">
        <v>200</v>
      </c>
      <c r="E2" s="58" t="s">
        <v>201</v>
      </c>
    </row>
    <row r="3" spans="1:5" ht="409.6" x14ac:dyDescent="0.3">
      <c r="A3" s="59" t="s">
        <v>202</v>
      </c>
      <c r="B3" s="60" t="s">
        <v>203</v>
      </c>
      <c r="C3" s="53" t="s">
        <v>204</v>
      </c>
      <c r="D3" s="53" t="s">
        <v>205</v>
      </c>
      <c r="E3" s="53" t="s">
        <v>206</v>
      </c>
    </row>
    <row r="4" spans="1:5" ht="409.6" x14ac:dyDescent="0.3">
      <c r="A4" s="59" t="s">
        <v>207</v>
      </c>
      <c r="B4" s="61" t="s">
        <v>208</v>
      </c>
      <c r="C4" s="54" t="s">
        <v>209</v>
      </c>
      <c r="D4" s="54" t="s">
        <v>210</v>
      </c>
      <c r="E4" s="54" t="s">
        <v>211</v>
      </c>
    </row>
    <row r="5" spans="1:5" ht="409.6" x14ac:dyDescent="0.3">
      <c r="A5" s="59" t="s">
        <v>212</v>
      </c>
      <c r="B5" s="60" t="s">
        <v>213</v>
      </c>
      <c r="C5" s="53" t="s">
        <v>214</v>
      </c>
      <c r="D5" s="53" t="s">
        <v>215</v>
      </c>
      <c r="E5" s="53" t="s">
        <v>216</v>
      </c>
    </row>
    <row r="6" spans="1:5" ht="409.6" x14ac:dyDescent="0.3">
      <c r="A6" s="59" t="s">
        <v>217</v>
      </c>
      <c r="B6" s="61" t="s">
        <v>218</v>
      </c>
      <c r="C6" s="54" t="s">
        <v>219</v>
      </c>
      <c r="D6" s="54" t="s">
        <v>220</v>
      </c>
      <c r="E6" s="54" t="s">
        <v>221</v>
      </c>
    </row>
    <row r="7" spans="1:5" ht="409.6" x14ac:dyDescent="0.3">
      <c r="A7" s="59" t="s">
        <v>222</v>
      </c>
      <c r="B7" s="62" t="s">
        <v>223</v>
      </c>
      <c r="C7" s="55" t="s">
        <v>224</v>
      </c>
      <c r="D7" s="55" t="s">
        <v>225</v>
      </c>
      <c r="E7" s="55" t="s">
        <v>226</v>
      </c>
    </row>
    <row r="8" spans="1:5" ht="409.6" x14ac:dyDescent="0.3">
      <c r="A8" s="59" t="s">
        <v>227</v>
      </c>
      <c r="B8" s="62" t="s">
        <v>228</v>
      </c>
      <c r="C8" s="55" t="s">
        <v>229</v>
      </c>
      <c r="D8" s="55" t="s">
        <v>230</v>
      </c>
      <c r="E8" s="55" t="s">
        <v>231</v>
      </c>
    </row>
    <row r="9" spans="1:5" ht="409.6" x14ac:dyDescent="0.3">
      <c r="A9" s="59" t="s">
        <v>232</v>
      </c>
      <c r="B9" s="60" t="s">
        <v>233</v>
      </c>
      <c r="C9" s="53" t="s">
        <v>234</v>
      </c>
      <c r="D9" s="53" t="s">
        <v>235</v>
      </c>
      <c r="E9" s="53" t="s">
        <v>236</v>
      </c>
    </row>
    <row r="10" spans="1:5" ht="409.6" x14ac:dyDescent="0.3">
      <c r="A10" s="59" t="s">
        <v>237</v>
      </c>
      <c r="B10" s="62" t="s">
        <v>238</v>
      </c>
      <c r="C10" s="55" t="s">
        <v>239</v>
      </c>
      <c r="D10" s="55" t="s">
        <v>240</v>
      </c>
      <c r="E10" s="55" t="s">
        <v>241</v>
      </c>
    </row>
    <row r="11" spans="1:5" x14ac:dyDescent="0.3">
      <c r="A11" s="4"/>
      <c r="B11" s="4"/>
      <c r="C11" s="4"/>
      <c r="D11" s="4"/>
      <c r="E11" s="4"/>
    </row>
    <row r="12" spans="1:5" x14ac:dyDescent="0.3">
      <c r="A12" s="63" t="s">
        <v>242</v>
      </c>
      <c r="B12" s="57"/>
      <c r="C12" s="57"/>
      <c r="D12" s="57"/>
      <c r="E12" s="57"/>
    </row>
  </sheetData>
  <mergeCells count="2">
    <mergeCell ref="A1:E1"/>
    <mergeCell ref="A12:E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16DFF6-C5A4-4AFF-A162-C8CA9EF1DE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New_clients </vt:lpstr>
      <vt:lpstr>Descriptive  stat</vt:lpstr>
      <vt:lpstr>T test (Annual Income)</vt:lpstr>
      <vt:lpstr>correlation</vt:lpstr>
      <vt:lpstr>T test (Age)</vt:lpstr>
      <vt:lpstr>T test (family members)</vt:lpstr>
      <vt:lpstr>logistic regression</vt:lpstr>
      <vt:lpstr>old_clients </vt:lpstr>
      <vt:lpstr>chi squre</vt:lpstr>
      <vt:lpstr>Chi-squre example</vt:lpstr>
      <vt:lpstr>Normality test</vt:lpstr>
      <vt:lpstr>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Ritam Majumdar</dc:creator>
  <cp:lastModifiedBy>Bhaskar Maity /PGP 2527</cp:lastModifiedBy>
  <dcterms:created xsi:type="dcterms:W3CDTF">2026-04-02T14:41:40Z</dcterms:created>
  <dcterms:modified xsi:type="dcterms:W3CDTF">2026-04-06T04:40:28Z</dcterms:modified>
</cp:coreProperties>
</file>